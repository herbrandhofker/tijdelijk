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V:\Robin vd M\Isolatiebedrijf\"/>
    </mc:Choice>
  </mc:AlternateContent>
  <xr:revisionPtr revIDLastSave="0" documentId="13_ncr:1_{13E00180-232C-41B5-B15D-FA58F46938F0}" xr6:coauthVersionLast="47" xr6:coauthVersionMax="47" xr10:uidLastSave="{00000000-0000-0000-0000-000000000000}"/>
  <bookViews>
    <workbookView xWindow="-4470" yWindow="-21720" windowWidth="38640" windowHeight="21240" xr2:uid="{80439372-82BD-1D4A-BD0A-BBA77CDC7CE4}"/>
  </bookViews>
  <sheets>
    <sheet name="Blad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5" i="1"/>
  <c r="K11" i="1"/>
  <c r="B11" i="1"/>
  <c r="C11" i="1"/>
  <c r="D11" i="1"/>
  <c r="E11" i="1"/>
  <c r="G11" i="1"/>
  <c r="K12" i="1"/>
  <c r="B12" i="1"/>
  <c r="C12" i="1"/>
  <c r="D12" i="1"/>
  <c r="E12" i="1"/>
  <c r="G12" i="1"/>
  <c r="K13" i="1"/>
  <c r="B13" i="1"/>
  <c r="C13" i="1"/>
  <c r="D13" i="1"/>
  <c r="E13" i="1"/>
  <c r="G13" i="1"/>
  <c r="K14" i="1"/>
  <c r="B14" i="1"/>
  <c r="C14" i="1"/>
  <c r="D14" i="1"/>
  <c r="E14" i="1"/>
  <c r="G14" i="1"/>
  <c r="K15" i="1"/>
  <c r="B15" i="1"/>
  <c r="C15" i="1"/>
  <c r="D15" i="1"/>
  <c r="E15" i="1"/>
  <c r="G15" i="1"/>
  <c r="K16" i="1"/>
  <c r="B16" i="1"/>
  <c r="C16" i="1"/>
  <c r="D16" i="1"/>
  <c r="E16" i="1"/>
  <c r="G16" i="1"/>
  <c r="K17" i="1"/>
  <c r="B17" i="1"/>
  <c r="C17" i="1"/>
  <c r="D17" i="1"/>
  <c r="E17" i="1"/>
  <c r="G17" i="1"/>
  <c r="K18" i="1"/>
  <c r="B18" i="1"/>
  <c r="C18" i="1"/>
  <c r="D18" i="1"/>
  <c r="E18" i="1"/>
  <c r="G18" i="1"/>
  <c r="K19" i="1"/>
  <c r="B19" i="1"/>
  <c r="C19" i="1"/>
  <c r="D19" i="1"/>
  <c r="E19" i="1"/>
  <c r="G19" i="1"/>
  <c r="K20" i="1"/>
  <c r="B20" i="1"/>
  <c r="C20" i="1"/>
  <c r="D20" i="1"/>
  <c r="E20" i="1"/>
  <c r="G20" i="1"/>
  <c r="K21" i="1"/>
  <c r="B21" i="1"/>
  <c r="C21" i="1"/>
  <c r="D21" i="1"/>
  <c r="E21" i="1"/>
  <c r="G21" i="1"/>
  <c r="K22" i="1"/>
  <c r="B22" i="1"/>
  <c r="C22" i="1"/>
  <c r="D22" i="1"/>
  <c r="E22" i="1"/>
  <c r="G22" i="1"/>
  <c r="K23" i="1"/>
  <c r="B23" i="1"/>
  <c r="C23" i="1"/>
  <c r="D23" i="1"/>
  <c r="E23" i="1"/>
  <c r="G23" i="1"/>
  <c r="K24" i="1"/>
  <c r="B24" i="1"/>
  <c r="C24" i="1"/>
  <c r="D24" i="1"/>
  <c r="E24" i="1"/>
  <c r="G24" i="1"/>
  <c r="K25" i="1"/>
  <c r="B25" i="1"/>
  <c r="C25" i="1"/>
  <c r="D25" i="1"/>
  <c r="E25" i="1"/>
  <c r="G25" i="1"/>
  <c r="K26" i="1"/>
  <c r="B26" i="1"/>
  <c r="C26" i="1"/>
  <c r="D26" i="1"/>
  <c r="E26" i="1"/>
  <c r="G26" i="1"/>
  <c r="K27" i="1"/>
  <c r="B27" i="1"/>
  <c r="C27" i="1"/>
  <c r="D27" i="1"/>
  <c r="E27" i="1"/>
  <c r="G27" i="1"/>
  <c r="K28" i="1"/>
  <c r="B28" i="1"/>
  <c r="C28" i="1"/>
  <c r="D28" i="1"/>
  <c r="E28" i="1"/>
  <c r="G28" i="1"/>
  <c r="K29" i="1"/>
  <c r="B29" i="1"/>
  <c r="C29" i="1"/>
  <c r="D29" i="1"/>
  <c r="E29" i="1"/>
  <c r="G29" i="1"/>
  <c r="K30" i="1"/>
  <c r="B30" i="1"/>
  <c r="C30" i="1"/>
  <c r="D30" i="1"/>
  <c r="E30" i="1"/>
  <c r="G30" i="1"/>
  <c r="K31" i="1"/>
  <c r="B31" i="1"/>
  <c r="C31" i="1"/>
  <c r="D31" i="1"/>
  <c r="E31" i="1"/>
  <c r="G31" i="1"/>
  <c r="K32" i="1"/>
  <c r="B32" i="1"/>
  <c r="C32" i="1"/>
  <c r="D32" i="1"/>
  <c r="E32" i="1"/>
  <c r="G32" i="1"/>
  <c r="K33" i="1"/>
  <c r="B33" i="1"/>
  <c r="C33" i="1"/>
  <c r="D33" i="1"/>
  <c r="E33" i="1"/>
  <c r="G33" i="1"/>
  <c r="K34" i="1"/>
  <c r="B34" i="1"/>
  <c r="C34" i="1"/>
  <c r="D34" i="1"/>
  <c r="E34" i="1"/>
  <c r="G34" i="1"/>
  <c r="K35" i="1"/>
  <c r="B35" i="1"/>
  <c r="C35" i="1"/>
  <c r="D35" i="1"/>
  <c r="E35" i="1"/>
  <c r="G35" i="1"/>
  <c r="K36" i="1"/>
  <c r="B36" i="1"/>
  <c r="C36" i="1"/>
  <c r="D36" i="1"/>
  <c r="E36" i="1"/>
  <c r="G36" i="1"/>
  <c r="K37" i="1"/>
  <c r="B37" i="1"/>
  <c r="C37" i="1"/>
  <c r="D37" i="1"/>
  <c r="E37" i="1"/>
  <c r="G37" i="1"/>
  <c r="K38" i="1"/>
  <c r="B38" i="1"/>
  <c r="C38" i="1"/>
  <c r="D38" i="1"/>
  <c r="E38" i="1"/>
  <c r="G38" i="1"/>
  <c r="K39" i="1"/>
  <c r="B39" i="1"/>
  <c r="C39" i="1"/>
  <c r="D39" i="1"/>
  <c r="E39" i="1"/>
  <c r="G39" i="1"/>
  <c r="K40" i="1"/>
  <c r="B40" i="1"/>
  <c r="C40" i="1"/>
  <c r="D40" i="1"/>
  <c r="E40" i="1"/>
  <c r="G40" i="1"/>
  <c r="K41" i="1"/>
  <c r="B41" i="1"/>
  <c r="C41" i="1"/>
  <c r="D41" i="1"/>
  <c r="E41" i="1"/>
  <c r="G41" i="1"/>
  <c r="K42" i="1"/>
  <c r="B42" i="1"/>
  <c r="C42" i="1"/>
  <c r="D42" i="1"/>
  <c r="E42" i="1"/>
  <c r="G42" i="1"/>
  <c r="K43" i="1"/>
  <c r="B43" i="1"/>
  <c r="C43" i="1"/>
  <c r="D43" i="1"/>
  <c r="E43" i="1"/>
  <c r="G43" i="1"/>
  <c r="K44" i="1"/>
  <c r="B44" i="1"/>
  <c r="C44" i="1"/>
  <c r="D44" i="1"/>
  <c r="E44" i="1"/>
  <c r="G44" i="1"/>
  <c r="K45" i="1"/>
  <c r="B45" i="1"/>
  <c r="C45" i="1"/>
  <c r="D45" i="1"/>
  <c r="E45" i="1"/>
  <c r="G45" i="1"/>
  <c r="K46" i="1"/>
  <c r="B46" i="1"/>
  <c r="C46" i="1"/>
  <c r="D46" i="1"/>
  <c r="E46" i="1"/>
  <c r="G46" i="1"/>
  <c r="K47" i="1"/>
  <c r="B47" i="1"/>
  <c r="C47" i="1"/>
  <c r="D47" i="1"/>
  <c r="E47" i="1"/>
  <c r="G47" i="1"/>
  <c r="K48" i="1"/>
  <c r="B48" i="1"/>
  <c r="C48" i="1"/>
  <c r="D48" i="1"/>
  <c r="E48" i="1"/>
  <c r="G48" i="1"/>
  <c r="K49" i="1"/>
  <c r="B49" i="1"/>
  <c r="C49" i="1"/>
  <c r="D49" i="1"/>
  <c r="E49" i="1"/>
  <c r="G49" i="1"/>
  <c r="K50" i="1"/>
  <c r="B50" i="1"/>
  <c r="C50" i="1"/>
  <c r="D50" i="1"/>
  <c r="E50" i="1"/>
  <c r="G50" i="1"/>
  <c r="K51" i="1"/>
  <c r="B51" i="1"/>
  <c r="C51" i="1"/>
  <c r="D51" i="1"/>
  <c r="E51" i="1"/>
  <c r="G51" i="1"/>
  <c r="K52" i="1"/>
  <c r="B52" i="1"/>
  <c r="C52" i="1"/>
  <c r="D52" i="1"/>
  <c r="E52" i="1"/>
  <c r="G52" i="1"/>
  <c r="K53" i="1"/>
  <c r="B53" i="1"/>
  <c r="C53" i="1"/>
  <c r="D53" i="1"/>
  <c r="E53" i="1"/>
  <c r="G53" i="1"/>
  <c r="K54" i="1"/>
  <c r="B54" i="1"/>
  <c r="C54" i="1"/>
  <c r="D54" i="1"/>
  <c r="E54" i="1"/>
  <c r="G54" i="1"/>
  <c r="K55" i="1"/>
  <c r="B55" i="1"/>
  <c r="C55" i="1"/>
  <c r="D55" i="1"/>
  <c r="E55" i="1"/>
  <c r="G55" i="1"/>
  <c r="K56" i="1"/>
  <c r="B56" i="1"/>
  <c r="C56" i="1"/>
  <c r="D56" i="1"/>
  <c r="E56" i="1"/>
  <c r="G56" i="1"/>
  <c r="K57" i="1"/>
  <c r="B57" i="1"/>
  <c r="C57" i="1"/>
  <c r="D57" i="1"/>
  <c r="E57" i="1"/>
  <c r="G57" i="1"/>
  <c r="K58" i="1"/>
  <c r="B58" i="1"/>
  <c r="C58" i="1"/>
  <c r="D58" i="1"/>
  <c r="E58" i="1"/>
  <c r="G58" i="1"/>
  <c r="K59" i="1"/>
  <c r="B59" i="1"/>
  <c r="C59" i="1"/>
  <c r="D59" i="1"/>
  <c r="E59" i="1"/>
  <c r="G59" i="1"/>
  <c r="K60" i="1"/>
  <c r="B60" i="1"/>
  <c r="C60" i="1"/>
  <c r="D60" i="1"/>
  <c r="E60" i="1"/>
  <c r="G60" i="1"/>
  <c r="K61" i="1"/>
  <c r="B61" i="1"/>
  <c r="C61" i="1"/>
  <c r="D61" i="1"/>
  <c r="E61" i="1"/>
  <c r="G61" i="1"/>
  <c r="K62" i="1"/>
  <c r="B62" i="1"/>
  <c r="C62" i="1"/>
  <c r="D62" i="1"/>
  <c r="E62" i="1"/>
  <c r="G62" i="1"/>
  <c r="K63" i="1"/>
  <c r="B63" i="1"/>
  <c r="C63" i="1"/>
  <c r="D63" i="1"/>
  <c r="E63" i="1"/>
  <c r="G63" i="1"/>
  <c r="K64" i="1"/>
  <c r="B64" i="1"/>
  <c r="C64" i="1"/>
  <c r="D64" i="1"/>
  <c r="E64" i="1"/>
  <c r="G64" i="1"/>
  <c r="K65" i="1"/>
  <c r="B65" i="1"/>
  <c r="C65" i="1"/>
  <c r="D65" i="1"/>
  <c r="E65" i="1"/>
  <c r="G65" i="1"/>
  <c r="K66" i="1"/>
  <c r="B66" i="1"/>
  <c r="C66" i="1"/>
  <c r="D66" i="1"/>
  <c r="E66" i="1"/>
  <c r="G66" i="1"/>
  <c r="K67" i="1"/>
  <c r="B67" i="1"/>
  <c r="C67" i="1"/>
  <c r="D67" i="1"/>
  <c r="E67" i="1"/>
  <c r="G67" i="1"/>
  <c r="K68" i="1"/>
  <c r="B68" i="1"/>
  <c r="C68" i="1"/>
  <c r="D68" i="1"/>
  <c r="E68" i="1"/>
  <c r="G68" i="1"/>
  <c r="K69" i="1"/>
  <c r="B69" i="1"/>
  <c r="C69" i="1"/>
  <c r="D69" i="1"/>
  <c r="E69" i="1"/>
  <c r="G69" i="1"/>
  <c r="K70" i="1"/>
  <c r="B70" i="1"/>
  <c r="C70" i="1"/>
  <c r="D70" i="1"/>
  <c r="E70" i="1"/>
  <c r="G70" i="1"/>
  <c r="K71" i="1"/>
  <c r="B71" i="1"/>
  <c r="C71" i="1"/>
  <c r="D71" i="1"/>
  <c r="E71" i="1"/>
  <c r="G71" i="1"/>
  <c r="K72" i="1"/>
  <c r="B72" i="1"/>
  <c r="C72" i="1"/>
  <c r="D72" i="1"/>
  <c r="E72" i="1"/>
  <c r="G72" i="1"/>
  <c r="K73" i="1"/>
  <c r="B73" i="1"/>
  <c r="C73" i="1"/>
  <c r="D73" i="1"/>
  <c r="E73" i="1"/>
  <c r="G73" i="1"/>
  <c r="K74" i="1"/>
  <c r="B74" i="1"/>
  <c r="C74" i="1"/>
  <c r="D74" i="1"/>
  <c r="E74" i="1"/>
  <c r="G74" i="1"/>
  <c r="K75" i="1"/>
  <c r="B75" i="1"/>
  <c r="C75" i="1"/>
  <c r="D75" i="1"/>
  <c r="E75" i="1"/>
  <c r="G75" i="1"/>
  <c r="K76" i="1"/>
  <c r="B76" i="1"/>
  <c r="C76" i="1"/>
  <c r="D76" i="1"/>
  <c r="E76" i="1"/>
  <c r="G76" i="1"/>
  <c r="K77" i="1"/>
  <c r="B77" i="1"/>
  <c r="C77" i="1"/>
  <c r="D77" i="1"/>
  <c r="E77" i="1"/>
  <c r="G77" i="1"/>
  <c r="K78" i="1"/>
  <c r="B78" i="1"/>
  <c r="C78" i="1"/>
  <c r="D78" i="1"/>
  <c r="E78" i="1"/>
  <c r="G78" i="1"/>
  <c r="K79" i="1"/>
  <c r="B79" i="1"/>
  <c r="C79" i="1"/>
  <c r="D79" i="1"/>
  <c r="E79" i="1"/>
  <c r="G79" i="1"/>
  <c r="K80" i="1"/>
  <c r="B80" i="1"/>
  <c r="C80" i="1"/>
  <c r="D80" i="1"/>
  <c r="E80" i="1"/>
  <c r="G80" i="1"/>
  <c r="K81" i="1"/>
  <c r="B81" i="1"/>
  <c r="C81" i="1"/>
  <c r="D81" i="1"/>
  <c r="E81" i="1"/>
  <c r="G81" i="1"/>
  <c r="K82" i="1"/>
  <c r="B82" i="1"/>
  <c r="C82" i="1"/>
  <c r="D82" i="1"/>
  <c r="E82" i="1"/>
  <c r="G82" i="1"/>
  <c r="K83" i="1"/>
  <c r="B83" i="1"/>
  <c r="C83" i="1"/>
  <c r="D83" i="1"/>
  <c r="E83" i="1"/>
  <c r="G83" i="1"/>
  <c r="K84" i="1"/>
  <c r="B84" i="1"/>
  <c r="C84" i="1"/>
  <c r="D84" i="1"/>
  <c r="E84" i="1"/>
  <c r="G84" i="1"/>
  <c r="K85" i="1"/>
  <c r="B85" i="1"/>
  <c r="C85" i="1"/>
  <c r="D85" i="1"/>
  <c r="E85" i="1"/>
  <c r="G85" i="1"/>
  <c r="K86" i="1"/>
  <c r="B86" i="1"/>
  <c r="C86" i="1"/>
  <c r="D86" i="1"/>
  <c r="E86" i="1"/>
  <c r="G86" i="1"/>
  <c r="K87" i="1"/>
  <c r="B87" i="1"/>
  <c r="C87" i="1"/>
  <c r="D87" i="1"/>
  <c r="E87" i="1"/>
  <c r="G87" i="1"/>
  <c r="K88" i="1"/>
  <c r="B88" i="1"/>
  <c r="C88" i="1"/>
  <c r="D88" i="1"/>
  <c r="E88" i="1"/>
  <c r="G88" i="1"/>
  <c r="K89" i="1"/>
  <c r="B89" i="1"/>
  <c r="C89" i="1"/>
  <c r="D89" i="1"/>
  <c r="E89" i="1"/>
  <c r="G89" i="1"/>
  <c r="K90" i="1"/>
  <c r="B90" i="1"/>
  <c r="C90" i="1"/>
  <c r="D90" i="1"/>
  <c r="E90" i="1"/>
  <c r="G90" i="1"/>
  <c r="K91" i="1"/>
  <c r="B91" i="1"/>
  <c r="C91" i="1"/>
  <c r="D91" i="1"/>
  <c r="E91" i="1"/>
  <c r="G91" i="1"/>
  <c r="K92" i="1"/>
  <c r="B92" i="1"/>
  <c r="C92" i="1"/>
  <c r="D92" i="1"/>
  <c r="E92" i="1"/>
  <c r="G92" i="1"/>
  <c r="K93" i="1"/>
  <c r="B93" i="1"/>
  <c r="C93" i="1"/>
  <c r="D93" i="1"/>
  <c r="E93" i="1"/>
  <c r="G93" i="1"/>
  <c r="K94" i="1"/>
  <c r="B94" i="1"/>
  <c r="C94" i="1"/>
  <c r="D94" i="1"/>
  <c r="E94" i="1"/>
  <c r="G94" i="1"/>
  <c r="K95" i="1"/>
  <c r="B95" i="1"/>
  <c r="C95" i="1"/>
  <c r="D95" i="1"/>
  <c r="E95" i="1"/>
  <c r="G95" i="1"/>
  <c r="K96" i="1"/>
  <c r="B96" i="1"/>
  <c r="C96" i="1"/>
  <c r="D96" i="1"/>
  <c r="E96" i="1"/>
  <c r="G96" i="1"/>
  <c r="K97" i="1"/>
  <c r="B97" i="1"/>
  <c r="C97" i="1"/>
  <c r="D97" i="1"/>
  <c r="E97" i="1"/>
  <c r="G97" i="1"/>
  <c r="K98" i="1"/>
  <c r="B98" i="1"/>
  <c r="C98" i="1"/>
  <c r="D98" i="1"/>
  <c r="E98" i="1"/>
  <c r="G98" i="1"/>
  <c r="K99" i="1"/>
  <c r="B99" i="1"/>
  <c r="C99" i="1"/>
  <c r="D99" i="1"/>
  <c r="E99" i="1"/>
  <c r="G99" i="1"/>
  <c r="K100" i="1"/>
  <c r="B100" i="1"/>
  <c r="C100" i="1"/>
  <c r="D100" i="1"/>
  <c r="E100" i="1"/>
  <c r="G100" i="1"/>
  <c r="K101" i="1"/>
  <c r="B101" i="1"/>
  <c r="C101" i="1"/>
  <c r="D101" i="1"/>
  <c r="E101" i="1"/>
  <c r="G101" i="1"/>
  <c r="K102" i="1"/>
  <c r="B102" i="1"/>
  <c r="C102" i="1"/>
  <c r="D102" i="1"/>
  <c r="E102" i="1"/>
  <c r="G102" i="1"/>
  <c r="K103" i="1"/>
  <c r="B103" i="1"/>
  <c r="C103" i="1"/>
  <c r="D103" i="1"/>
  <c r="E103" i="1"/>
  <c r="G103" i="1"/>
  <c r="K104" i="1"/>
  <c r="B104" i="1"/>
  <c r="C104" i="1"/>
  <c r="D104" i="1"/>
  <c r="E104" i="1"/>
  <c r="G104" i="1"/>
  <c r="K105" i="1"/>
  <c r="B105" i="1"/>
  <c r="C105" i="1"/>
  <c r="D105" i="1"/>
  <c r="E105" i="1"/>
  <c r="G105" i="1"/>
  <c r="K106" i="1"/>
  <c r="B106" i="1"/>
  <c r="C106" i="1"/>
  <c r="D106" i="1"/>
  <c r="E106" i="1"/>
  <c r="G106" i="1"/>
  <c r="K107" i="1"/>
  <c r="B107" i="1"/>
  <c r="C107" i="1"/>
  <c r="D107" i="1"/>
  <c r="E107" i="1"/>
  <c r="G107" i="1"/>
  <c r="K108" i="1"/>
  <c r="B108" i="1"/>
  <c r="C108" i="1"/>
  <c r="D108" i="1"/>
  <c r="E108" i="1"/>
  <c r="G108" i="1"/>
  <c r="K109" i="1"/>
  <c r="B109" i="1"/>
  <c r="C109" i="1"/>
  <c r="D109" i="1"/>
  <c r="E109" i="1"/>
  <c r="G109" i="1"/>
  <c r="K110" i="1"/>
  <c r="B110" i="1"/>
  <c r="C110" i="1"/>
  <c r="D110" i="1"/>
  <c r="E110" i="1"/>
  <c r="G110" i="1"/>
  <c r="K111" i="1"/>
  <c r="B111" i="1"/>
  <c r="C111" i="1"/>
  <c r="D111" i="1"/>
  <c r="E111" i="1"/>
  <c r="G111" i="1"/>
  <c r="K112" i="1"/>
  <c r="B112" i="1"/>
  <c r="C112" i="1"/>
  <c r="D112" i="1"/>
  <c r="E112" i="1"/>
  <c r="G112" i="1"/>
  <c r="K113" i="1"/>
  <c r="B113" i="1"/>
  <c r="C113" i="1"/>
  <c r="D113" i="1"/>
  <c r="E113" i="1"/>
  <c r="G113" i="1"/>
  <c r="K114" i="1"/>
  <c r="B114" i="1"/>
  <c r="C114" i="1"/>
  <c r="D114" i="1"/>
  <c r="E114" i="1"/>
  <c r="G114" i="1"/>
  <c r="K115" i="1"/>
  <c r="B115" i="1"/>
  <c r="C115" i="1"/>
  <c r="D115" i="1"/>
  <c r="E115" i="1"/>
  <c r="G115" i="1"/>
  <c r="K116" i="1"/>
  <c r="B116" i="1"/>
  <c r="C116" i="1"/>
  <c r="D116" i="1"/>
  <c r="E116" i="1"/>
  <c r="G116" i="1"/>
  <c r="K117" i="1"/>
  <c r="B117" i="1"/>
  <c r="C117" i="1"/>
  <c r="D117" i="1"/>
  <c r="E117" i="1"/>
  <c r="G117" i="1"/>
  <c r="K118" i="1"/>
  <c r="B118" i="1"/>
  <c r="C118" i="1"/>
  <c r="D118" i="1"/>
  <c r="E118" i="1"/>
  <c r="G118" i="1"/>
  <c r="K119" i="1"/>
  <c r="B119" i="1"/>
  <c r="C119" i="1"/>
  <c r="D119" i="1"/>
  <c r="E119" i="1"/>
  <c r="G119" i="1"/>
  <c r="K120" i="1"/>
  <c r="B120" i="1"/>
  <c r="C120" i="1"/>
  <c r="D120" i="1"/>
  <c r="E120" i="1"/>
  <c r="G120" i="1"/>
  <c r="K121" i="1"/>
  <c r="B121" i="1"/>
  <c r="C121" i="1"/>
  <c r="D121" i="1"/>
  <c r="E121" i="1"/>
  <c r="G121" i="1"/>
  <c r="K122" i="1"/>
  <c r="B122" i="1"/>
  <c r="C122" i="1"/>
  <c r="D122" i="1"/>
  <c r="E122" i="1"/>
  <c r="G122" i="1"/>
  <c r="K123" i="1"/>
  <c r="B123" i="1"/>
  <c r="C123" i="1"/>
  <c r="D123" i="1"/>
  <c r="E123" i="1"/>
  <c r="G123" i="1"/>
  <c r="K124" i="1"/>
  <c r="B124" i="1"/>
  <c r="C124" i="1"/>
  <c r="D124" i="1"/>
  <c r="E124" i="1"/>
  <c r="G124" i="1"/>
  <c r="K125" i="1"/>
  <c r="B125" i="1"/>
  <c r="C125" i="1"/>
  <c r="D125" i="1"/>
  <c r="E125" i="1"/>
  <c r="G125" i="1"/>
  <c r="K126" i="1"/>
  <c r="B126" i="1"/>
  <c r="C126" i="1"/>
  <c r="D126" i="1"/>
  <c r="E126" i="1"/>
  <c r="G126" i="1"/>
  <c r="K127" i="1"/>
  <c r="B127" i="1"/>
  <c r="C127" i="1"/>
  <c r="D127" i="1"/>
  <c r="E127" i="1"/>
  <c r="G127" i="1"/>
  <c r="K128" i="1"/>
  <c r="B128" i="1"/>
  <c r="C128" i="1"/>
  <c r="D128" i="1"/>
  <c r="E128" i="1"/>
  <c r="G128" i="1"/>
  <c r="K129" i="1"/>
  <c r="B129" i="1"/>
  <c r="C129" i="1"/>
  <c r="D129" i="1"/>
  <c r="E129" i="1"/>
  <c r="G129" i="1"/>
  <c r="K130" i="1"/>
  <c r="B130" i="1"/>
  <c r="C130" i="1"/>
  <c r="D130" i="1"/>
  <c r="E130" i="1"/>
  <c r="G130" i="1"/>
  <c r="K131" i="1"/>
  <c r="B131" i="1"/>
  <c r="C131" i="1"/>
  <c r="D131" i="1"/>
  <c r="E131" i="1"/>
  <c r="G131" i="1"/>
  <c r="K132" i="1"/>
  <c r="B132" i="1"/>
  <c r="C132" i="1"/>
  <c r="D132" i="1"/>
  <c r="E132" i="1"/>
  <c r="G132" i="1"/>
  <c r="K133" i="1"/>
  <c r="B133" i="1"/>
  <c r="C133" i="1"/>
  <c r="D133" i="1"/>
  <c r="E133" i="1"/>
  <c r="G133" i="1"/>
  <c r="K134" i="1"/>
  <c r="B134" i="1"/>
  <c r="C134" i="1"/>
  <c r="D134" i="1"/>
  <c r="E134" i="1"/>
  <c r="G134" i="1"/>
  <c r="K135" i="1"/>
  <c r="B135" i="1"/>
  <c r="C135" i="1"/>
  <c r="D135" i="1"/>
  <c r="E135" i="1"/>
  <c r="G135" i="1"/>
  <c r="K136" i="1"/>
  <c r="B136" i="1"/>
  <c r="C136" i="1"/>
  <c r="D136" i="1"/>
  <c r="E136" i="1"/>
  <c r="G136" i="1"/>
  <c r="K137" i="1"/>
  <c r="B137" i="1"/>
  <c r="C137" i="1"/>
  <c r="D137" i="1"/>
  <c r="E137" i="1"/>
  <c r="G137" i="1"/>
  <c r="K138" i="1"/>
  <c r="B138" i="1"/>
  <c r="C138" i="1"/>
  <c r="D138" i="1"/>
  <c r="E138" i="1"/>
  <c r="G138" i="1"/>
  <c r="K139" i="1"/>
  <c r="B139" i="1"/>
  <c r="C139" i="1"/>
  <c r="D139" i="1"/>
  <c r="E139" i="1"/>
  <c r="G139" i="1"/>
  <c r="K140" i="1"/>
  <c r="B140" i="1"/>
  <c r="C140" i="1"/>
  <c r="D140" i="1"/>
  <c r="E140" i="1"/>
  <c r="G140" i="1"/>
  <c r="K141" i="1"/>
  <c r="B141" i="1"/>
  <c r="C141" i="1"/>
  <c r="D141" i="1"/>
  <c r="E141" i="1"/>
  <c r="G141" i="1"/>
  <c r="K142" i="1"/>
  <c r="B142" i="1"/>
  <c r="C142" i="1"/>
  <c r="D142" i="1"/>
  <c r="E142" i="1"/>
  <c r="G142" i="1"/>
  <c r="K143" i="1"/>
  <c r="B143" i="1"/>
  <c r="C143" i="1"/>
  <c r="D143" i="1"/>
  <c r="E143" i="1"/>
  <c r="G143" i="1"/>
  <c r="K144" i="1"/>
  <c r="B144" i="1"/>
  <c r="C144" i="1"/>
  <c r="D144" i="1"/>
  <c r="E144" i="1"/>
  <c r="G144" i="1"/>
  <c r="K145" i="1"/>
  <c r="B145" i="1"/>
  <c r="C145" i="1"/>
  <c r="D145" i="1"/>
  <c r="E145" i="1"/>
  <c r="G145" i="1"/>
  <c r="K146" i="1"/>
  <c r="B146" i="1"/>
  <c r="C146" i="1"/>
  <c r="D146" i="1"/>
  <c r="E146" i="1"/>
  <c r="G146" i="1"/>
  <c r="K147" i="1"/>
  <c r="B147" i="1"/>
  <c r="C147" i="1"/>
  <c r="D147" i="1"/>
  <c r="E147" i="1"/>
  <c r="G147" i="1"/>
  <c r="K148" i="1"/>
  <c r="B148" i="1"/>
  <c r="C148" i="1"/>
  <c r="D148" i="1"/>
  <c r="E148" i="1"/>
  <c r="G148" i="1"/>
  <c r="K149" i="1"/>
  <c r="B149" i="1"/>
  <c r="C149" i="1"/>
  <c r="D149" i="1"/>
  <c r="E149" i="1"/>
  <c r="G149" i="1"/>
  <c r="K150" i="1"/>
  <c r="B150" i="1"/>
  <c r="C150" i="1"/>
  <c r="D150" i="1"/>
  <c r="E150" i="1"/>
  <c r="G150" i="1"/>
  <c r="K151" i="1"/>
  <c r="B151" i="1"/>
  <c r="C151" i="1"/>
  <c r="D151" i="1"/>
  <c r="E151" i="1"/>
  <c r="G151" i="1"/>
  <c r="K152" i="1"/>
  <c r="B152" i="1"/>
  <c r="C152" i="1"/>
  <c r="D152" i="1"/>
  <c r="E152" i="1"/>
  <c r="G152" i="1"/>
  <c r="K153" i="1"/>
  <c r="B153" i="1"/>
  <c r="C153" i="1"/>
  <c r="D153" i="1"/>
  <c r="E153" i="1"/>
  <c r="G153" i="1"/>
  <c r="K154" i="1"/>
  <c r="B154" i="1"/>
  <c r="C154" i="1"/>
  <c r="D154" i="1"/>
  <c r="E154" i="1"/>
  <c r="G154" i="1"/>
  <c r="K155" i="1"/>
  <c r="B155" i="1"/>
  <c r="C155" i="1"/>
  <c r="D155" i="1"/>
  <c r="E155" i="1"/>
  <c r="G155" i="1"/>
  <c r="K156" i="1"/>
  <c r="B156" i="1"/>
  <c r="C156" i="1"/>
  <c r="D156" i="1"/>
  <c r="E156" i="1"/>
  <c r="G156" i="1"/>
  <c r="K157" i="1"/>
  <c r="B157" i="1"/>
  <c r="C157" i="1"/>
  <c r="D157" i="1"/>
  <c r="E157" i="1"/>
  <c r="G157" i="1"/>
  <c r="K158" i="1"/>
  <c r="B158" i="1"/>
  <c r="C158" i="1"/>
  <c r="D158" i="1"/>
  <c r="E158" i="1"/>
  <c r="G158" i="1"/>
  <c r="K159" i="1"/>
  <c r="B159" i="1"/>
  <c r="C159" i="1"/>
  <c r="D159" i="1"/>
  <c r="E159" i="1"/>
  <c r="G159" i="1"/>
  <c r="K160" i="1"/>
  <c r="B160" i="1"/>
  <c r="C160" i="1"/>
  <c r="D160" i="1"/>
  <c r="E160" i="1"/>
  <c r="G160" i="1"/>
  <c r="K161" i="1"/>
  <c r="B161" i="1"/>
  <c r="C161" i="1"/>
  <c r="D161" i="1"/>
  <c r="E161" i="1"/>
  <c r="G161" i="1"/>
  <c r="K162" i="1"/>
  <c r="B162" i="1"/>
  <c r="C162" i="1"/>
  <c r="D162" i="1"/>
  <c r="E162" i="1"/>
  <c r="G162" i="1"/>
  <c r="K163" i="1"/>
  <c r="B163" i="1"/>
  <c r="C163" i="1"/>
  <c r="D163" i="1"/>
  <c r="E163" i="1"/>
  <c r="G163" i="1"/>
  <c r="K164" i="1"/>
  <c r="B164" i="1"/>
  <c r="C164" i="1"/>
  <c r="D164" i="1"/>
  <c r="E164" i="1"/>
  <c r="G164" i="1"/>
  <c r="K165" i="1"/>
  <c r="B165" i="1"/>
  <c r="C165" i="1"/>
  <c r="D165" i="1"/>
  <c r="E165" i="1"/>
  <c r="G165" i="1"/>
  <c r="K166" i="1"/>
  <c r="B166" i="1"/>
  <c r="C166" i="1"/>
  <c r="D166" i="1"/>
  <c r="E166" i="1"/>
  <c r="G166" i="1"/>
  <c r="K167" i="1"/>
  <c r="B167" i="1"/>
  <c r="C167" i="1"/>
  <c r="D167" i="1"/>
  <c r="E167" i="1"/>
  <c r="G167" i="1"/>
  <c r="K168" i="1"/>
  <c r="B168" i="1"/>
  <c r="C168" i="1"/>
  <c r="D168" i="1"/>
  <c r="E168" i="1"/>
  <c r="G168" i="1"/>
  <c r="K169" i="1"/>
  <c r="B169" i="1"/>
  <c r="C169" i="1"/>
  <c r="D169" i="1"/>
  <c r="E169" i="1"/>
  <c r="G169" i="1"/>
  <c r="K170" i="1"/>
  <c r="B170" i="1"/>
  <c r="C170" i="1"/>
  <c r="D170" i="1"/>
  <c r="E170" i="1"/>
  <c r="G170" i="1"/>
  <c r="K171" i="1"/>
  <c r="B171" i="1"/>
  <c r="C171" i="1"/>
  <c r="D171" i="1"/>
  <c r="E171" i="1"/>
  <c r="G171" i="1"/>
  <c r="K172" i="1"/>
  <c r="B172" i="1"/>
  <c r="C172" i="1"/>
  <c r="D172" i="1"/>
  <c r="E172" i="1"/>
  <c r="G172" i="1"/>
  <c r="K173" i="1"/>
  <c r="B173" i="1"/>
  <c r="C173" i="1"/>
  <c r="D173" i="1"/>
  <c r="E173" i="1"/>
  <c r="G173" i="1"/>
  <c r="K174" i="1"/>
  <c r="B174" i="1"/>
  <c r="C174" i="1"/>
  <c r="D174" i="1"/>
  <c r="E174" i="1"/>
  <c r="G174" i="1"/>
  <c r="K175" i="1"/>
  <c r="B175" i="1"/>
  <c r="C175" i="1"/>
  <c r="D175" i="1"/>
  <c r="E175" i="1"/>
  <c r="G175" i="1"/>
  <c r="K176" i="1"/>
  <c r="B176" i="1"/>
  <c r="C176" i="1"/>
  <c r="D176" i="1"/>
  <c r="E176" i="1"/>
  <c r="G176" i="1"/>
  <c r="K177" i="1"/>
  <c r="B177" i="1"/>
  <c r="C177" i="1"/>
  <c r="D177" i="1"/>
  <c r="E177" i="1"/>
  <c r="G177" i="1"/>
  <c r="K178" i="1"/>
  <c r="B178" i="1"/>
  <c r="C178" i="1"/>
  <c r="D178" i="1"/>
  <c r="E178" i="1"/>
  <c r="G178" i="1"/>
  <c r="K179" i="1"/>
  <c r="B179" i="1"/>
  <c r="C179" i="1"/>
  <c r="D179" i="1"/>
  <c r="E179" i="1"/>
  <c r="G179" i="1"/>
  <c r="K180" i="1"/>
  <c r="B180" i="1"/>
  <c r="C180" i="1"/>
  <c r="D180" i="1"/>
  <c r="E180" i="1"/>
  <c r="G180" i="1"/>
  <c r="K181" i="1"/>
  <c r="B181" i="1"/>
  <c r="C181" i="1"/>
  <c r="D181" i="1"/>
  <c r="E181" i="1"/>
  <c r="G181" i="1"/>
  <c r="K182" i="1"/>
  <c r="B182" i="1"/>
  <c r="C182" i="1"/>
  <c r="D182" i="1"/>
  <c r="E182" i="1"/>
  <c r="G182" i="1"/>
  <c r="K183" i="1"/>
  <c r="B183" i="1"/>
  <c r="C183" i="1"/>
  <c r="D183" i="1"/>
  <c r="E183" i="1"/>
  <c r="G183" i="1"/>
  <c r="K184" i="1"/>
  <c r="B184" i="1"/>
  <c r="C184" i="1"/>
  <c r="D184" i="1"/>
  <c r="E184" i="1"/>
  <c r="G184" i="1"/>
  <c r="K185" i="1"/>
  <c r="B185" i="1"/>
  <c r="C185" i="1"/>
  <c r="D185" i="1"/>
  <c r="E185" i="1"/>
  <c r="G185" i="1"/>
  <c r="K186" i="1"/>
  <c r="B186" i="1"/>
  <c r="C186" i="1"/>
  <c r="D186" i="1"/>
  <c r="E186" i="1"/>
  <c r="G186" i="1"/>
  <c r="K187" i="1"/>
  <c r="B187" i="1"/>
  <c r="C187" i="1"/>
  <c r="D187" i="1"/>
  <c r="E187" i="1"/>
  <c r="G187" i="1"/>
  <c r="K188" i="1"/>
  <c r="B188" i="1"/>
  <c r="C188" i="1"/>
  <c r="D188" i="1"/>
  <c r="E188" i="1"/>
  <c r="G188" i="1"/>
  <c r="K189" i="1"/>
  <c r="B189" i="1"/>
  <c r="C189" i="1"/>
  <c r="D189" i="1"/>
  <c r="E189" i="1"/>
  <c r="G189" i="1"/>
  <c r="K190" i="1"/>
  <c r="B190" i="1"/>
  <c r="C190" i="1"/>
  <c r="D190" i="1"/>
  <c r="E190" i="1"/>
  <c r="G190" i="1"/>
  <c r="K191" i="1"/>
  <c r="B191" i="1"/>
  <c r="C191" i="1"/>
  <c r="D191" i="1"/>
  <c r="E191" i="1"/>
  <c r="G191" i="1"/>
  <c r="K192" i="1"/>
  <c r="B192" i="1"/>
  <c r="C192" i="1"/>
  <c r="D192" i="1"/>
  <c r="E192" i="1"/>
  <c r="G192" i="1"/>
  <c r="K193" i="1"/>
  <c r="B193" i="1"/>
  <c r="C193" i="1"/>
  <c r="D193" i="1"/>
  <c r="E193" i="1"/>
  <c r="G193" i="1"/>
  <c r="K194" i="1"/>
  <c r="B194" i="1"/>
  <c r="C194" i="1"/>
  <c r="D194" i="1"/>
  <c r="E194" i="1"/>
  <c r="G194" i="1"/>
  <c r="K195" i="1"/>
  <c r="B195" i="1"/>
  <c r="C195" i="1"/>
  <c r="D195" i="1"/>
  <c r="E195" i="1"/>
  <c r="G195" i="1"/>
  <c r="K196" i="1"/>
  <c r="B196" i="1"/>
  <c r="C196" i="1"/>
  <c r="D196" i="1"/>
  <c r="E196" i="1"/>
  <c r="G196" i="1"/>
  <c r="K197" i="1"/>
  <c r="B197" i="1"/>
  <c r="C197" i="1"/>
  <c r="D197" i="1"/>
  <c r="E197" i="1"/>
  <c r="G197" i="1"/>
  <c r="K198" i="1"/>
  <c r="B198" i="1"/>
  <c r="C198" i="1"/>
  <c r="D198" i="1"/>
  <c r="E198" i="1"/>
  <c r="G198" i="1"/>
  <c r="K199" i="1"/>
  <c r="B199" i="1"/>
  <c r="C199" i="1"/>
  <c r="D199" i="1"/>
  <c r="E199" i="1"/>
  <c r="G199" i="1"/>
  <c r="K200" i="1"/>
  <c r="B200" i="1"/>
  <c r="C200" i="1"/>
  <c r="D200" i="1"/>
  <c r="E200" i="1"/>
  <c r="G200" i="1"/>
  <c r="K201" i="1"/>
  <c r="B201" i="1"/>
  <c r="C201" i="1"/>
  <c r="D201" i="1"/>
  <c r="E201" i="1"/>
  <c r="G201" i="1"/>
  <c r="K202" i="1"/>
  <c r="B202" i="1"/>
  <c r="C202" i="1"/>
  <c r="D202" i="1"/>
  <c r="E202" i="1"/>
  <c r="G202" i="1"/>
  <c r="K203" i="1"/>
  <c r="B203" i="1"/>
  <c r="C203" i="1"/>
  <c r="D203" i="1"/>
  <c r="E203" i="1"/>
  <c r="G203" i="1"/>
  <c r="K204" i="1"/>
  <c r="B204" i="1"/>
  <c r="C204" i="1"/>
  <c r="D204" i="1"/>
  <c r="E204" i="1"/>
  <c r="G204" i="1"/>
  <c r="K205" i="1"/>
  <c r="B205" i="1"/>
  <c r="C205" i="1"/>
  <c r="D205" i="1"/>
  <c r="E205" i="1"/>
  <c r="G205" i="1"/>
  <c r="K206" i="1"/>
  <c r="B206" i="1"/>
  <c r="C206" i="1"/>
  <c r="D206" i="1"/>
  <c r="E206" i="1"/>
  <c r="G206" i="1"/>
  <c r="K207" i="1"/>
  <c r="B207" i="1"/>
  <c r="C207" i="1"/>
  <c r="D207" i="1"/>
  <c r="E207" i="1"/>
  <c r="G207" i="1"/>
  <c r="K208" i="1"/>
  <c r="B208" i="1"/>
  <c r="C208" i="1"/>
  <c r="D208" i="1"/>
  <c r="E208" i="1"/>
  <c r="G208" i="1"/>
  <c r="K209" i="1"/>
  <c r="B209" i="1"/>
  <c r="C209" i="1"/>
  <c r="D209" i="1"/>
  <c r="E209" i="1"/>
  <c r="G209" i="1"/>
  <c r="K210" i="1"/>
  <c r="B210" i="1"/>
  <c r="C210" i="1"/>
  <c r="D210" i="1"/>
  <c r="E210" i="1"/>
  <c r="G210" i="1"/>
  <c r="K211" i="1"/>
  <c r="B211" i="1"/>
  <c r="C211" i="1"/>
  <c r="D211" i="1"/>
  <c r="E211" i="1"/>
  <c r="G211" i="1"/>
  <c r="K212" i="1"/>
  <c r="B212" i="1"/>
  <c r="C212" i="1"/>
  <c r="D212" i="1"/>
  <c r="E212" i="1"/>
  <c r="G212" i="1"/>
  <c r="K213" i="1"/>
  <c r="B213" i="1"/>
  <c r="C213" i="1"/>
  <c r="D213" i="1"/>
  <c r="E213" i="1"/>
  <c r="G213" i="1"/>
  <c r="K214" i="1"/>
  <c r="B214" i="1"/>
  <c r="C214" i="1"/>
  <c r="D214" i="1"/>
  <c r="E214" i="1"/>
  <c r="G214" i="1"/>
  <c r="K215" i="1"/>
  <c r="B215" i="1"/>
  <c r="C215" i="1"/>
  <c r="D215" i="1"/>
  <c r="E215" i="1"/>
  <c r="G215" i="1"/>
  <c r="K216" i="1"/>
  <c r="B216" i="1"/>
  <c r="C216" i="1"/>
  <c r="D216" i="1"/>
  <c r="E216" i="1"/>
  <c r="G216" i="1"/>
  <c r="K217" i="1"/>
  <c r="B217" i="1"/>
  <c r="C217" i="1"/>
  <c r="D217" i="1"/>
  <c r="E217" i="1"/>
  <c r="G217" i="1"/>
  <c r="K218" i="1"/>
  <c r="B218" i="1"/>
  <c r="C218" i="1"/>
  <c r="D218" i="1"/>
  <c r="E218" i="1"/>
  <c r="G218" i="1"/>
  <c r="K219" i="1"/>
  <c r="B219" i="1"/>
  <c r="C219" i="1"/>
  <c r="D219" i="1"/>
  <c r="E219" i="1"/>
  <c r="G219" i="1"/>
  <c r="K220" i="1"/>
  <c r="B220" i="1"/>
  <c r="C220" i="1"/>
  <c r="D220" i="1"/>
  <c r="E220" i="1"/>
  <c r="G220" i="1"/>
  <c r="K221" i="1"/>
  <c r="B221" i="1"/>
  <c r="C221" i="1"/>
  <c r="D221" i="1"/>
  <c r="E221" i="1"/>
  <c r="G221" i="1"/>
  <c r="K222" i="1"/>
  <c r="B222" i="1"/>
  <c r="C222" i="1"/>
  <c r="D222" i="1"/>
  <c r="E222" i="1"/>
  <c r="G222" i="1"/>
  <c r="K223" i="1"/>
  <c r="B223" i="1"/>
  <c r="C223" i="1"/>
  <c r="D223" i="1"/>
  <c r="E223" i="1"/>
  <c r="G223" i="1"/>
  <c r="K224" i="1"/>
  <c r="B224" i="1"/>
  <c r="C224" i="1"/>
  <c r="D224" i="1"/>
  <c r="E224" i="1"/>
  <c r="G224" i="1"/>
  <c r="K225" i="1"/>
  <c r="B225" i="1"/>
  <c r="C225" i="1"/>
  <c r="D225" i="1"/>
  <c r="E225" i="1"/>
  <c r="G225" i="1"/>
  <c r="K226" i="1"/>
  <c r="B226" i="1"/>
  <c r="C226" i="1"/>
  <c r="D226" i="1"/>
  <c r="E226" i="1"/>
  <c r="G226" i="1"/>
  <c r="K227" i="1"/>
  <c r="B227" i="1"/>
  <c r="C227" i="1"/>
  <c r="D227" i="1"/>
  <c r="E227" i="1"/>
  <c r="G227" i="1"/>
  <c r="K228" i="1"/>
  <c r="B228" i="1"/>
  <c r="C228" i="1"/>
  <c r="D228" i="1"/>
  <c r="E228" i="1"/>
  <c r="G228" i="1"/>
  <c r="K229" i="1"/>
  <c r="B229" i="1"/>
  <c r="C229" i="1"/>
  <c r="D229" i="1"/>
  <c r="E229" i="1"/>
  <c r="G229" i="1"/>
  <c r="K230" i="1"/>
  <c r="B230" i="1"/>
  <c r="C230" i="1"/>
  <c r="D230" i="1"/>
  <c r="E230" i="1"/>
  <c r="G230" i="1"/>
  <c r="K231" i="1"/>
  <c r="B231" i="1"/>
  <c r="C231" i="1"/>
  <c r="D231" i="1"/>
  <c r="E231" i="1"/>
  <c r="G231" i="1"/>
  <c r="K232" i="1"/>
  <c r="B232" i="1"/>
  <c r="C232" i="1"/>
  <c r="D232" i="1"/>
  <c r="E232" i="1"/>
  <c r="G232" i="1"/>
  <c r="K233" i="1"/>
  <c r="B233" i="1"/>
  <c r="C233" i="1"/>
  <c r="D233" i="1"/>
  <c r="E233" i="1"/>
  <c r="G233" i="1"/>
  <c r="K234" i="1"/>
  <c r="B234" i="1"/>
  <c r="C234" i="1"/>
  <c r="D234" i="1"/>
  <c r="E234" i="1"/>
  <c r="G234" i="1"/>
  <c r="K235" i="1"/>
  <c r="B235" i="1"/>
  <c r="C235" i="1"/>
  <c r="D235" i="1"/>
  <c r="E235" i="1"/>
  <c r="G235" i="1"/>
  <c r="K236" i="1"/>
  <c r="B236" i="1"/>
  <c r="C236" i="1"/>
  <c r="D236" i="1"/>
  <c r="E236" i="1"/>
  <c r="G236" i="1"/>
  <c r="K237" i="1"/>
  <c r="B237" i="1"/>
  <c r="C237" i="1"/>
  <c r="D237" i="1"/>
  <c r="E237" i="1"/>
  <c r="G237" i="1"/>
  <c r="K238" i="1"/>
  <c r="B238" i="1"/>
  <c r="C238" i="1"/>
  <c r="D238" i="1"/>
  <c r="E238" i="1"/>
  <c r="G238" i="1"/>
  <c r="K239" i="1"/>
  <c r="B239" i="1"/>
  <c r="C239" i="1"/>
  <c r="D239" i="1"/>
  <c r="E239" i="1"/>
  <c r="G239" i="1"/>
  <c r="K240" i="1"/>
  <c r="B240" i="1"/>
  <c r="C240" i="1"/>
  <c r="D240" i="1"/>
  <c r="E240" i="1"/>
  <c r="G240" i="1"/>
  <c r="K241" i="1"/>
  <c r="B241" i="1"/>
  <c r="C241" i="1"/>
  <c r="D241" i="1"/>
  <c r="E241" i="1"/>
  <c r="G241" i="1"/>
  <c r="K242" i="1"/>
  <c r="B242" i="1"/>
  <c r="C242" i="1"/>
  <c r="D242" i="1"/>
  <c r="E242" i="1"/>
  <c r="G242" i="1"/>
  <c r="K243" i="1"/>
  <c r="B243" i="1"/>
  <c r="C243" i="1"/>
  <c r="D243" i="1"/>
  <c r="E243" i="1"/>
  <c r="G243" i="1"/>
  <c r="K244" i="1"/>
  <c r="B244" i="1"/>
  <c r="C244" i="1"/>
  <c r="D244" i="1"/>
  <c r="E244" i="1"/>
  <c r="G244" i="1"/>
  <c r="K245" i="1"/>
  <c r="B245" i="1"/>
  <c r="C245" i="1"/>
  <c r="D245" i="1"/>
  <c r="E245" i="1"/>
  <c r="G245" i="1"/>
  <c r="K246" i="1"/>
  <c r="B246" i="1"/>
  <c r="C246" i="1"/>
  <c r="D246" i="1"/>
  <c r="E246" i="1"/>
  <c r="G246" i="1"/>
  <c r="K247" i="1"/>
  <c r="B247" i="1"/>
  <c r="C247" i="1"/>
  <c r="D247" i="1"/>
  <c r="E247" i="1"/>
  <c r="G247" i="1"/>
  <c r="K248" i="1"/>
  <c r="B248" i="1"/>
  <c r="C248" i="1"/>
  <c r="D248" i="1"/>
  <c r="E248" i="1"/>
  <c r="G248" i="1"/>
  <c r="K249" i="1"/>
  <c r="B249" i="1"/>
  <c r="C249" i="1"/>
  <c r="D249" i="1"/>
  <c r="E249" i="1"/>
  <c r="G249" i="1"/>
  <c r="K250" i="1"/>
  <c r="B250" i="1"/>
  <c r="C250" i="1"/>
  <c r="D250" i="1"/>
  <c r="E250" i="1"/>
  <c r="G250" i="1"/>
  <c r="K251" i="1"/>
  <c r="B251" i="1"/>
  <c r="C251" i="1"/>
  <c r="D251" i="1"/>
  <c r="E251" i="1"/>
  <c r="G251" i="1"/>
  <c r="K252" i="1"/>
  <c r="B252" i="1"/>
  <c r="C252" i="1"/>
  <c r="D252" i="1"/>
  <c r="E252" i="1"/>
  <c r="G252" i="1"/>
  <c r="K253" i="1"/>
  <c r="B253" i="1"/>
  <c r="C253" i="1"/>
  <c r="D253" i="1"/>
  <c r="E253" i="1"/>
  <c r="G253" i="1"/>
  <c r="K254" i="1"/>
  <c r="B254" i="1"/>
  <c r="C254" i="1"/>
  <c r="D254" i="1"/>
  <c r="E254" i="1"/>
  <c r="G254" i="1"/>
  <c r="K255" i="1"/>
  <c r="B255" i="1"/>
  <c r="C255" i="1"/>
  <c r="D255" i="1"/>
  <c r="E255" i="1"/>
  <c r="G255" i="1"/>
  <c r="K256" i="1"/>
  <c r="B256" i="1"/>
  <c r="C256" i="1"/>
  <c r="D256" i="1"/>
  <c r="E256" i="1"/>
  <c r="G256" i="1"/>
  <c r="K257" i="1"/>
  <c r="B257" i="1"/>
  <c r="C257" i="1"/>
  <c r="D257" i="1"/>
  <c r="E257" i="1"/>
  <c r="G257" i="1"/>
  <c r="K258" i="1"/>
  <c r="B258" i="1"/>
  <c r="C258" i="1"/>
  <c r="D258" i="1"/>
  <c r="E258" i="1"/>
  <c r="G258" i="1"/>
  <c r="K259" i="1"/>
  <c r="B259" i="1"/>
  <c r="C259" i="1"/>
  <c r="D259" i="1"/>
  <c r="E259" i="1"/>
  <c r="G259" i="1"/>
  <c r="K260" i="1"/>
  <c r="B260" i="1"/>
  <c r="C260" i="1"/>
  <c r="D260" i="1"/>
  <c r="E260" i="1"/>
  <c r="G260" i="1"/>
  <c r="K261" i="1"/>
  <c r="B261" i="1"/>
  <c r="C261" i="1"/>
  <c r="D261" i="1"/>
  <c r="E261" i="1"/>
  <c r="G261" i="1"/>
  <c r="K262" i="1"/>
  <c r="B262" i="1"/>
  <c r="C262" i="1"/>
  <c r="D262" i="1"/>
  <c r="E262" i="1"/>
  <c r="G262" i="1"/>
  <c r="K263" i="1"/>
  <c r="B263" i="1"/>
  <c r="C263" i="1"/>
  <c r="D263" i="1"/>
  <c r="E263" i="1"/>
  <c r="G263" i="1"/>
  <c r="K264" i="1"/>
  <c r="B264" i="1"/>
  <c r="C264" i="1"/>
  <c r="D264" i="1"/>
  <c r="E264" i="1"/>
  <c r="G264" i="1"/>
  <c r="K265" i="1"/>
  <c r="B265" i="1"/>
  <c r="C265" i="1"/>
  <c r="D265" i="1"/>
  <c r="E265" i="1"/>
  <c r="G265" i="1"/>
  <c r="K266" i="1"/>
  <c r="B266" i="1"/>
  <c r="C266" i="1"/>
  <c r="D266" i="1"/>
  <c r="E266" i="1"/>
  <c r="G266" i="1"/>
  <c r="K267" i="1"/>
  <c r="B267" i="1"/>
  <c r="C267" i="1"/>
  <c r="D267" i="1"/>
  <c r="E267" i="1"/>
  <c r="G267" i="1"/>
  <c r="K268" i="1"/>
  <c r="B268" i="1"/>
  <c r="C268" i="1"/>
  <c r="D268" i="1"/>
  <c r="E268" i="1"/>
  <c r="G268" i="1"/>
  <c r="K269" i="1"/>
  <c r="B269" i="1"/>
  <c r="C269" i="1"/>
  <c r="D269" i="1"/>
  <c r="E269" i="1"/>
  <c r="G269" i="1"/>
  <c r="K270" i="1"/>
  <c r="B270" i="1"/>
  <c r="C270" i="1"/>
  <c r="D270" i="1"/>
  <c r="E270" i="1"/>
  <c r="G270" i="1"/>
  <c r="K271" i="1"/>
  <c r="B271" i="1"/>
  <c r="C271" i="1"/>
  <c r="D271" i="1"/>
  <c r="E271" i="1"/>
  <c r="G271" i="1"/>
  <c r="K272" i="1"/>
  <c r="B272" i="1"/>
  <c r="C272" i="1"/>
  <c r="D272" i="1"/>
  <c r="E272" i="1"/>
  <c r="G272" i="1"/>
  <c r="K273" i="1"/>
  <c r="B273" i="1"/>
  <c r="C273" i="1"/>
  <c r="D273" i="1"/>
  <c r="E273" i="1"/>
  <c r="G273" i="1"/>
  <c r="K274" i="1"/>
  <c r="B274" i="1"/>
  <c r="C274" i="1"/>
  <c r="D274" i="1"/>
  <c r="E274" i="1"/>
  <c r="G274" i="1"/>
  <c r="K275" i="1"/>
  <c r="B275" i="1"/>
  <c r="C275" i="1"/>
  <c r="D275" i="1"/>
  <c r="E275" i="1"/>
  <c r="G275" i="1"/>
  <c r="K276" i="1"/>
  <c r="B276" i="1"/>
  <c r="C276" i="1"/>
  <c r="D276" i="1"/>
  <c r="E276" i="1"/>
  <c r="G276" i="1"/>
  <c r="K277" i="1"/>
  <c r="B277" i="1"/>
  <c r="C277" i="1"/>
  <c r="D277" i="1"/>
  <c r="E277" i="1"/>
  <c r="G277" i="1"/>
  <c r="K278" i="1"/>
  <c r="B278" i="1"/>
  <c r="C278" i="1"/>
  <c r="D278" i="1"/>
  <c r="E278" i="1"/>
  <c r="G278" i="1"/>
  <c r="K279" i="1"/>
  <c r="B279" i="1"/>
  <c r="C279" i="1"/>
  <c r="D279" i="1"/>
  <c r="E279" i="1"/>
  <c r="G279" i="1"/>
  <c r="K280" i="1"/>
  <c r="B280" i="1"/>
  <c r="C280" i="1"/>
  <c r="D280" i="1"/>
  <c r="E280" i="1"/>
  <c r="G280" i="1"/>
  <c r="K281" i="1"/>
  <c r="B281" i="1"/>
  <c r="C281" i="1"/>
  <c r="D281" i="1"/>
  <c r="E281" i="1"/>
  <c r="G281" i="1"/>
  <c r="K282" i="1"/>
  <c r="B282" i="1"/>
  <c r="C282" i="1"/>
  <c r="D282" i="1"/>
  <c r="E282" i="1"/>
  <c r="G282" i="1"/>
  <c r="K283" i="1"/>
  <c r="B283" i="1"/>
  <c r="C283" i="1"/>
  <c r="D283" i="1"/>
  <c r="E283" i="1"/>
  <c r="G283" i="1"/>
  <c r="K284" i="1"/>
  <c r="B284" i="1"/>
  <c r="C284" i="1"/>
  <c r="D284" i="1"/>
  <c r="E284" i="1"/>
  <c r="G284" i="1"/>
  <c r="K285" i="1"/>
  <c r="B285" i="1"/>
  <c r="C285" i="1"/>
  <c r="D285" i="1"/>
  <c r="E285" i="1"/>
  <c r="G285" i="1"/>
  <c r="K286" i="1"/>
  <c r="B286" i="1"/>
  <c r="C286" i="1"/>
  <c r="D286" i="1"/>
  <c r="E286" i="1"/>
  <c r="G286" i="1"/>
  <c r="K287" i="1"/>
  <c r="B287" i="1"/>
  <c r="C287" i="1"/>
  <c r="D287" i="1"/>
  <c r="E287" i="1"/>
  <c r="G287" i="1"/>
  <c r="K288" i="1"/>
  <c r="B288" i="1"/>
  <c r="C288" i="1"/>
  <c r="D288" i="1"/>
  <c r="E288" i="1"/>
  <c r="G288" i="1"/>
  <c r="K289" i="1"/>
  <c r="B289" i="1"/>
  <c r="C289" i="1"/>
  <c r="D289" i="1"/>
  <c r="E289" i="1"/>
  <c r="G289" i="1"/>
  <c r="K290" i="1"/>
  <c r="B290" i="1"/>
  <c r="C290" i="1"/>
  <c r="D290" i="1"/>
  <c r="E290" i="1"/>
  <c r="G290" i="1"/>
  <c r="K291" i="1"/>
  <c r="B291" i="1"/>
  <c r="C291" i="1"/>
  <c r="D291" i="1"/>
  <c r="E291" i="1"/>
  <c r="G291" i="1"/>
  <c r="K292" i="1"/>
  <c r="B292" i="1"/>
  <c r="C292" i="1"/>
  <c r="D292" i="1"/>
  <c r="E292" i="1"/>
  <c r="G292" i="1"/>
  <c r="K293" i="1"/>
  <c r="B293" i="1"/>
  <c r="C293" i="1"/>
  <c r="D293" i="1"/>
  <c r="E293" i="1"/>
  <c r="G293" i="1"/>
  <c r="K294" i="1"/>
  <c r="B294" i="1"/>
  <c r="C294" i="1"/>
  <c r="D294" i="1"/>
  <c r="E294" i="1"/>
  <c r="G294" i="1"/>
  <c r="K295" i="1"/>
  <c r="B295" i="1"/>
  <c r="C295" i="1"/>
  <c r="D295" i="1"/>
  <c r="E295" i="1"/>
  <c r="G295" i="1"/>
  <c r="K296" i="1"/>
  <c r="B296" i="1"/>
  <c r="C296" i="1"/>
  <c r="D296" i="1"/>
  <c r="E296" i="1"/>
  <c r="G296" i="1"/>
  <c r="K297" i="1"/>
  <c r="B297" i="1"/>
  <c r="C297" i="1"/>
  <c r="D297" i="1"/>
  <c r="E297" i="1"/>
  <c r="G297" i="1"/>
  <c r="K298" i="1"/>
  <c r="B298" i="1"/>
  <c r="C298" i="1"/>
  <c r="D298" i="1"/>
  <c r="E298" i="1"/>
  <c r="G298" i="1"/>
  <c r="K299" i="1"/>
  <c r="B299" i="1"/>
  <c r="C299" i="1"/>
  <c r="D299" i="1"/>
  <c r="E299" i="1"/>
  <c r="G299" i="1"/>
  <c r="K300" i="1"/>
  <c r="B300" i="1"/>
  <c r="C300" i="1"/>
  <c r="D300" i="1"/>
  <c r="E300" i="1"/>
  <c r="G300" i="1"/>
  <c r="K301" i="1"/>
  <c r="B301" i="1"/>
  <c r="C301" i="1"/>
  <c r="D301" i="1"/>
  <c r="E301" i="1"/>
  <c r="G301" i="1"/>
  <c r="K302" i="1"/>
  <c r="B302" i="1"/>
  <c r="C302" i="1"/>
  <c r="D302" i="1"/>
  <c r="E302" i="1"/>
  <c r="G302" i="1"/>
  <c r="K303" i="1"/>
  <c r="B303" i="1"/>
  <c r="C303" i="1"/>
  <c r="D303" i="1"/>
  <c r="E303" i="1"/>
  <c r="G303" i="1"/>
  <c r="K304" i="1"/>
  <c r="B304" i="1"/>
  <c r="C304" i="1"/>
  <c r="D304" i="1"/>
  <c r="E304" i="1"/>
  <c r="G304" i="1"/>
  <c r="K305" i="1"/>
  <c r="B305" i="1"/>
  <c r="C305" i="1"/>
  <c r="D305" i="1"/>
  <c r="E305" i="1"/>
  <c r="G305" i="1"/>
  <c r="K306" i="1"/>
  <c r="B306" i="1"/>
  <c r="C306" i="1"/>
  <c r="D306" i="1"/>
  <c r="E306" i="1"/>
  <c r="G306" i="1"/>
  <c r="K307" i="1"/>
  <c r="B307" i="1"/>
  <c r="C307" i="1"/>
  <c r="D307" i="1"/>
  <c r="E307" i="1"/>
  <c r="G307" i="1"/>
  <c r="K308" i="1"/>
  <c r="B308" i="1"/>
  <c r="C308" i="1"/>
  <c r="D308" i="1"/>
  <c r="E308" i="1"/>
  <c r="G308" i="1"/>
  <c r="K309" i="1"/>
  <c r="B309" i="1"/>
  <c r="C309" i="1"/>
  <c r="D309" i="1"/>
  <c r="E309" i="1"/>
  <c r="G309" i="1"/>
  <c r="K310" i="1"/>
  <c r="B310" i="1"/>
  <c r="C310" i="1"/>
  <c r="D310" i="1"/>
  <c r="E310" i="1"/>
  <c r="G310" i="1"/>
  <c r="K311" i="1"/>
  <c r="B311" i="1"/>
  <c r="C311" i="1"/>
  <c r="D311" i="1"/>
  <c r="E311" i="1"/>
  <c r="G311" i="1"/>
  <c r="K312" i="1"/>
  <c r="B312" i="1"/>
  <c r="C312" i="1"/>
  <c r="D312" i="1"/>
  <c r="E312" i="1"/>
  <c r="G312" i="1"/>
  <c r="K313" i="1"/>
  <c r="B313" i="1"/>
  <c r="C313" i="1"/>
  <c r="D313" i="1"/>
  <c r="E313" i="1"/>
  <c r="G313" i="1"/>
  <c r="K314" i="1"/>
  <c r="B314" i="1"/>
  <c r="C314" i="1"/>
  <c r="D314" i="1"/>
  <c r="E314" i="1"/>
  <c r="G314" i="1"/>
  <c r="K315" i="1"/>
  <c r="B315" i="1"/>
  <c r="C315" i="1"/>
  <c r="D315" i="1"/>
  <c r="E315" i="1"/>
  <c r="G315" i="1"/>
  <c r="K316" i="1"/>
  <c r="B316" i="1"/>
  <c r="C316" i="1"/>
  <c r="D316" i="1"/>
  <c r="E316" i="1"/>
  <c r="G316" i="1"/>
  <c r="K317" i="1"/>
  <c r="B317" i="1"/>
  <c r="C317" i="1"/>
  <c r="D317" i="1"/>
  <c r="E317" i="1"/>
  <c r="G317" i="1"/>
  <c r="K318" i="1"/>
  <c r="B318" i="1"/>
  <c r="C318" i="1"/>
  <c r="D318" i="1"/>
  <c r="E318" i="1"/>
  <c r="G318" i="1"/>
  <c r="K319" i="1"/>
  <c r="B319" i="1"/>
  <c r="C319" i="1"/>
  <c r="D319" i="1"/>
  <c r="E319" i="1"/>
  <c r="G319" i="1"/>
  <c r="K320" i="1"/>
  <c r="B320" i="1"/>
  <c r="C320" i="1"/>
  <c r="D320" i="1"/>
  <c r="E320" i="1"/>
  <c r="G320" i="1"/>
  <c r="K321" i="1"/>
  <c r="B321" i="1"/>
  <c r="C321" i="1"/>
  <c r="D321" i="1"/>
  <c r="E321" i="1"/>
  <c r="G321" i="1"/>
  <c r="K322" i="1"/>
  <c r="B322" i="1"/>
  <c r="C322" i="1"/>
  <c r="D322" i="1"/>
  <c r="E322" i="1"/>
  <c r="G322" i="1"/>
  <c r="K323" i="1"/>
  <c r="B323" i="1"/>
  <c r="C323" i="1"/>
  <c r="D323" i="1"/>
  <c r="E323" i="1"/>
  <c r="G323" i="1"/>
  <c r="K324" i="1"/>
  <c r="B324" i="1"/>
  <c r="C324" i="1"/>
  <c r="D324" i="1"/>
  <c r="E324" i="1"/>
  <c r="G324" i="1"/>
  <c r="K325" i="1"/>
  <c r="B325" i="1"/>
  <c r="C325" i="1"/>
  <c r="D325" i="1"/>
  <c r="E325" i="1"/>
  <c r="G325" i="1"/>
  <c r="K326" i="1"/>
  <c r="B326" i="1"/>
  <c r="C326" i="1"/>
  <c r="D326" i="1"/>
  <c r="E326" i="1"/>
  <c r="G326" i="1"/>
  <c r="K327" i="1"/>
  <c r="B327" i="1"/>
  <c r="C327" i="1"/>
  <c r="D327" i="1"/>
  <c r="E327" i="1"/>
  <c r="G327" i="1"/>
  <c r="K328" i="1"/>
  <c r="B328" i="1"/>
  <c r="C328" i="1"/>
  <c r="D328" i="1"/>
  <c r="E328" i="1"/>
  <c r="G328" i="1"/>
  <c r="K329" i="1"/>
  <c r="B329" i="1"/>
  <c r="C329" i="1"/>
  <c r="D329" i="1"/>
  <c r="E329" i="1"/>
  <c r="G329" i="1"/>
  <c r="K330" i="1"/>
  <c r="B330" i="1"/>
  <c r="C330" i="1"/>
  <c r="D330" i="1"/>
  <c r="E330" i="1"/>
  <c r="G330" i="1"/>
  <c r="K331" i="1"/>
  <c r="B331" i="1"/>
  <c r="C331" i="1"/>
  <c r="D331" i="1"/>
  <c r="E331" i="1"/>
  <c r="G331" i="1"/>
  <c r="K332" i="1"/>
  <c r="B332" i="1"/>
  <c r="C332" i="1"/>
  <c r="D332" i="1"/>
  <c r="E332" i="1"/>
  <c r="G332" i="1"/>
  <c r="K333" i="1"/>
  <c r="B333" i="1"/>
  <c r="C333" i="1"/>
  <c r="D333" i="1"/>
  <c r="E333" i="1"/>
  <c r="G333" i="1"/>
  <c r="K334" i="1"/>
  <c r="B334" i="1"/>
  <c r="C334" i="1"/>
  <c r="D334" i="1"/>
  <c r="E334" i="1"/>
  <c r="G334" i="1"/>
  <c r="K335" i="1"/>
  <c r="B335" i="1"/>
  <c r="C335" i="1"/>
  <c r="D335" i="1"/>
  <c r="E335" i="1"/>
  <c r="G335" i="1"/>
  <c r="K336" i="1"/>
  <c r="B336" i="1"/>
  <c r="C336" i="1"/>
  <c r="D336" i="1"/>
  <c r="E336" i="1"/>
  <c r="G336" i="1"/>
  <c r="K337" i="1"/>
  <c r="B337" i="1"/>
  <c r="C337" i="1"/>
  <c r="D337" i="1"/>
  <c r="E337" i="1"/>
  <c r="G337" i="1"/>
  <c r="K338" i="1"/>
  <c r="B338" i="1"/>
  <c r="C338" i="1"/>
  <c r="D338" i="1"/>
  <c r="E338" i="1"/>
  <c r="G338" i="1"/>
  <c r="K339" i="1"/>
  <c r="B339" i="1"/>
  <c r="C339" i="1"/>
  <c r="D339" i="1"/>
  <c r="E339" i="1"/>
  <c r="G339" i="1"/>
  <c r="K340" i="1"/>
  <c r="B340" i="1"/>
  <c r="C340" i="1"/>
  <c r="D340" i="1"/>
  <c r="E340" i="1"/>
  <c r="G340" i="1"/>
  <c r="K341" i="1"/>
  <c r="B341" i="1"/>
  <c r="C341" i="1"/>
  <c r="D341" i="1"/>
  <c r="E341" i="1"/>
  <c r="G341" i="1"/>
  <c r="K342" i="1"/>
  <c r="B342" i="1"/>
  <c r="C342" i="1"/>
  <c r="D342" i="1"/>
  <c r="E342" i="1"/>
  <c r="G342" i="1"/>
  <c r="K343" i="1"/>
  <c r="B343" i="1"/>
  <c r="C343" i="1"/>
  <c r="D343" i="1"/>
  <c r="E343" i="1"/>
  <c r="G343" i="1"/>
  <c r="K344" i="1"/>
  <c r="B344" i="1"/>
  <c r="C344" i="1"/>
  <c r="D344" i="1"/>
  <c r="E344" i="1"/>
  <c r="G344" i="1"/>
  <c r="K345" i="1"/>
  <c r="B345" i="1"/>
  <c r="C345" i="1"/>
  <c r="D345" i="1"/>
  <c r="E345" i="1"/>
  <c r="G345" i="1"/>
  <c r="K346" i="1"/>
  <c r="B346" i="1"/>
  <c r="C346" i="1"/>
  <c r="D346" i="1"/>
  <c r="E346" i="1"/>
  <c r="G346" i="1"/>
  <c r="K347" i="1"/>
  <c r="B347" i="1"/>
  <c r="C347" i="1"/>
  <c r="D347" i="1"/>
  <c r="E347" i="1"/>
  <c r="G347" i="1"/>
  <c r="K348" i="1"/>
  <c r="B348" i="1"/>
  <c r="C348" i="1"/>
  <c r="D348" i="1"/>
  <c r="E348" i="1"/>
  <c r="G348" i="1"/>
  <c r="K349" i="1"/>
  <c r="B349" i="1"/>
  <c r="C349" i="1"/>
  <c r="D349" i="1"/>
  <c r="E349" i="1"/>
  <c r="G349" i="1"/>
  <c r="K350" i="1"/>
  <c r="B350" i="1"/>
  <c r="C350" i="1"/>
  <c r="D350" i="1"/>
  <c r="E350" i="1"/>
  <c r="G350" i="1"/>
  <c r="K351" i="1"/>
  <c r="B351" i="1"/>
  <c r="C351" i="1"/>
  <c r="D351" i="1"/>
  <c r="E351" i="1"/>
  <c r="G351" i="1"/>
  <c r="K352" i="1"/>
  <c r="B352" i="1"/>
  <c r="C352" i="1"/>
  <c r="D352" i="1"/>
  <c r="E352" i="1"/>
  <c r="G352" i="1"/>
  <c r="K353" i="1"/>
  <c r="B353" i="1"/>
  <c r="C353" i="1"/>
  <c r="D353" i="1"/>
  <c r="E353" i="1"/>
  <c r="G353" i="1"/>
  <c r="K354" i="1"/>
  <c r="B354" i="1"/>
  <c r="C354" i="1"/>
  <c r="D354" i="1"/>
  <c r="E354" i="1"/>
  <c r="G354" i="1"/>
  <c r="K355" i="1"/>
  <c r="B355" i="1"/>
  <c r="C355" i="1"/>
  <c r="D355" i="1"/>
  <c r="E355" i="1"/>
  <c r="G355" i="1"/>
  <c r="K356" i="1"/>
  <c r="B356" i="1"/>
  <c r="C356" i="1"/>
  <c r="D356" i="1"/>
  <c r="E356" i="1"/>
  <c r="G356" i="1"/>
  <c r="K357" i="1"/>
  <c r="B357" i="1"/>
  <c r="C357" i="1"/>
  <c r="D357" i="1"/>
  <c r="E357" i="1"/>
  <c r="G357" i="1"/>
  <c r="K358" i="1"/>
  <c r="B358" i="1"/>
  <c r="C358" i="1"/>
  <c r="D358" i="1"/>
  <c r="E358" i="1"/>
  <c r="G358" i="1"/>
  <c r="K359" i="1"/>
  <c r="B359" i="1"/>
  <c r="C359" i="1"/>
  <c r="D359" i="1"/>
  <c r="E359" i="1"/>
  <c r="G359" i="1"/>
  <c r="K360" i="1"/>
  <c r="B360" i="1"/>
  <c r="C360" i="1"/>
  <c r="D360" i="1"/>
  <c r="E360" i="1"/>
  <c r="G360" i="1"/>
  <c r="K361" i="1"/>
  <c r="B361" i="1"/>
  <c r="C361" i="1"/>
  <c r="D361" i="1"/>
  <c r="E361" i="1"/>
  <c r="G361" i="1"/>
  <c r="K362" i="1"/>
  <c r="B362" i="1"/>
  <c r="C362" i="1"/>
  <c r="D362" i="1"/>
  <c r="E362" i="1"/>
  <c r="G362" i="1"/>
  <c r="K363" i="1"/>
  <c r="B363" i="1"/>
  <c r="C363" i="1"/>
  <c r="D363" i="1"/>
  <c r="E363" i="1"/>
  <c r="G363" i="1"/>
  <c r="K364" i="1"/>
  <c r="B364" i="1"/>
  <c r="C364" i="1"/>
  <c r="D364" i="1"/>
  <c r="E364" i="1"/>
  <c r="G364" i="1"/>
  <c r="K365" i="1"/>
  <c r="B365" i="1"/>
  <c r="C365" i="1"/>
  <c r="D365" i="1"/>
  <c r="E365" i="1"/>
  <c r="G365" i="1"/>
  <c r="K366" i="1"/>
  <c r="B366" i="1"/>
  <c r="C366" i="1"/>
  <c r="D366" i="1"/>
  <c r="E366" i="1"/>
  <c r="G366" i="1"/>
  <c r="K367" i="1"/>
  <c r="B367" i="1"/>
  <c r="C367" i="1"/>
  <c r="D367" i="1"/>
  <c r="E367" i="1"/>
  <c r="G367" i="1"/>
  <c r="K368" i="1"/>
  <c r="B368" i="1"/>
  <c r="C368" i="1"/>
  <c r="D368" i="1"/>
  <c r="E368" i="1"/>
  <c r="G368" i="1"/>
  <c r="K369" i="1"/>
  <c r="B369" i="1"/>
  <c r="C369" i="1"/>
  <c r="D369" i="1"/>
  <c r="E369" i="1"/>
  <c r="G369" i="1"/>
  <c r="K370" i="1"/>
  <c r="B370" i="1"/>
  <c r="C370" i="1"/>
  <c r="D370" i="1"/>
  <c r="E370" i="1"/>
  <c r="G370" i="1"/>
  <c r="K371" i="1"/>
  <c r="B371" i="1"/>
  <c r="C371" i="1"/>
  <c r="D371" i="1"/>
  <c r="E371" i="1"/>
  <c r="G371" i="1"/>
  <c r="K372" i="1"/>
  <c r="B372" i="1"/>
  <c r="C372" i="1"/>
  <c r="D372" i="1"/>
  <c r="E372" i="1"/>
  <c r="G372" i="1"/>
  <c r="K373" i="1"/>
  <c r="B373" i="1"/>
  <c r="C373" i="1"/>
  <c r="D373" i="1"/>
  <c r="E373" i="1"/>
  <c r="G373" i="1"/>
  <c r="K374" i="1"/>
  <c r="B374" i="1"/>
  <c r="C374" i="1"/>
  <c r="D374" i="1"/>
  <c r="E374" i="1"/>
  <c r="G374" i="1"/>
  <c r="K375" i="1"/>
  <c r="B375" i="1"/>
  <c r="C375" i="1"/>
  <c r="D375" i="1"/>
  <c r="E375" i="1"/>
  <c r="G375" i="1"/>
  <c r="K376" i="1"/>
  <c r="B376" i="1"/>
  <c r="C376" i="1"/>
  <c r="D376" i="1"/>
  <c r="E376" i="1"/>
  <c r="G376" i="1"/>
  <c r="K377" i="1"/>
  <c r="B377" i="1"/>
  <c r="C377" i="1"/>
  <c r="D377" i="1"/>
  <c r="E377" i="1"/>
  <c r="G377" i="1"/>
  <c r="K378" i="1"/>
  <c r="B378" i="1"/>
  <c r="C378" i="1"/>
  <c r="D378" i="1"/>
  <c r="E378" i="1"/>
  <c r="G378" i="1"/>
  <c r="K379" i="1"/>
  <c r="B379" i="1"/>
  <c r="C379" i="1"/>
  <c r="D379" i="1"/>
  <c r="E379" i="1"/>
  <c r="G379" i="1"/>
  <c r="K380" i="1"/>
  <c r="B380" i="1"/>
  <c r="C380" i="1"/>
  <c r="D380" i="1"/>
  <c r="E380" i="1"/>
  <c r="G380" i="1"/>
  <c r="K381" i="1"/>
  <c r="B381" i="1"/>
  <c r="C381" i="1"/>
  <c r="D381" i="1"/>
  <c r="E381" i="1"/>
  <c r="G381" i="1"/>
  <c r="K382" i="1"/>
  <c r="B382" i="1"/>
  <c r="C382" i="1"/>
  <c r="D382" i="1"/>
  <c r="E382" i="1"/>
  <c r="G382" i="1"/>
  <c r="K383" i="1"/>
  <c r="B383" i="1"/>
  <c r="C383" i="1"/>
  <c r="D383" i="1"/>
  <c r="E383" i="1"/>
  <c r="G383" i="1"/>
  <c r="K384" i="1"/>
  <c r="B384" i="1"/>
  <c r="C384" i="1"/>
  <c r="D384" i="1"/>
  <c r="E384" i="1"/>
  <c r="G384" i="1"/>
  <c r="K385" i="1"/>
  <c r="B385" i="1"/>
  <c r="C385" i="1"/>
  <c r="D385" i="1"/>
  <c r="E385" i="1"/>
  <c r="G385" i="1"/>
  <c r="K386" i="1"/>
  <c r="B386" i="1"/>
  <c r="C386" i="1"/>
  <c r="D386" i="1"/>
  <c r="E386" i="1"/>
  <c r="G386" i="1"/>
  <c r="K387" i="1"/>
  <c r="B387" i="1"/>
  <c r="C387" i="1"/>
  <c r="D387" i="1"/>
  <c r="E387" i="1"/>
  <c r="G387" i="1"/>
  <c r="K388" i="1"/>
  <c r="B388" i="1"/>
  <c r="C388" i="1"/>
  <c r="D388" i="1"/>
  <c r="E388" i="1"/>
  <c r="G388" i="1"/>
  <c r="K389" i="1"/>
  <c r="B389" i="1"/>
  <c r="C389" i="1"/>
  <c r="D389" i="1"/>
  <c r="E389" i="1"/>
  <c r="G389" i="1"/>
  <c r="K390" i="1"/>
  <c r="B390" i="1"/>
  <c r="C390" i="1"/>
  <c r="D390" i="1"/>
  <c r="E390" i="1"/>
  <c r="G390" i="1"/>
  <c r="K391" i="1"/>
  <c r="B391" i="1"/>
  <c r="C391" i="1"/>
  <c r="D391" i="1"/>
  <c r="E391" i="1"/>
  <c r="G391" i="1"/>
  <c r="K392" i="1"/>
  <c r="B392" i="1"/>
  <c r="C392" i="1"/>
  <c r="D392" i="1"/>
  <c r="E392" i="1"/>
  <c r="G392" i="1"/>
  <c r="K393" i="1"/>
  <c r="B393" i="1"/>
  <c r="C393" i="1"/>
  <c r="D393" i="1"/>
  <c r="E393" i="1"/>
  <c r="G393" i="1"/>
  <c r="K394" i="1"/>
  <c r="B394" i="1"/>
  <c r="C394" i="1"/>
  <c r="D394" i="1"/>
  <c r="E394" i="1"/>
  <c r="G394" i="1"/>
  <c r="K395" i="1"/>
  <c r="B395" i="1"/>
  <c r="C395" i="1"/>
  <c r="D395" i="1"/>
  <c r="E395" i="1"/>
  <c r="G395" i="1"/>
  <c r="K396" i="1"/>
  <c r="B396" i="1"/>
  <c r="C396" i="1"/>
  <c r="D396" i="1"/>
  <c r="E396" i="1"/>
  <c r="G396" i="1"/>
  <c r="K397" i="1"/>
  <c r="B397" i="1"/>
  <c r="C397" i="1"/>
  <c r="D397" i="1"/>
  <c r="E397" i="1"/>
  <c r="G397" i="1"/>
  <c r="K398" i="1"/>
  <c r="B398" i="1"/>
  <c r="C398" i="1"/>
  <c r="D398" i="1"/>
  <c r="E398" i="1"/>
  <c r="G398" i="1"/>
  <c r="K399" i="1"/>
  <c r="B399" i="1"/>
  <c r="C399" i="1"/>
  <c r="D399" i="1"/>
  <c r="E399" i="1"/>
  <c r="G399" i="1"/>
  <c r="K400" i="1"/>
  <c r="B400" i="1"/>
  <c r="C400" i="1"/>
  <c r="D400" i="1"/>
  <c r="E400" i="1"/>
  <c r="G400" i="1"/>
  <c r="K401" i="1"/>
  <c r="B401" i="1"/>
  <c r="C401" i="1"/>
  <c r="D401" i="1"/>
  <c r="E401" i="1"/>
  <c r="G401" i="1"/>
  <c r="K402" i="1"/>
  <c r="B402" i="1"/>
  <c r="C402" i="1"/>
  <c r="D402" i="1"/>
  <c r="E402" i="1"/>
  <c r="G402" i="1"/>
  <c r="K403" i="1"/>
  <c r="B403" i="1"/>
  <c r="C403" i="1"/>
  <c r="D403" i="1"/>
  <c r="E403" i="1"/>
  <c r="G403" i="1"/>
  <c r="K404" i="1"/>
  <c r="B404" i="1"/>
  <c r="C404" i="1"/>
  <c r="D404" i="1"/>
  <c r="E404" i="1"/>
  <c r="G404" i="1"/>
  <c r="K405" i="1"/>
  <c r="B405" i="1"/>
  <c r="C405" i="1"/>
  <c r="D405" i="1"/>
  <c r="E405" i="1"/>
  <c r="G405" i="1"/>
  <c r="K406" i="1"/>
  <c r="B406" i="1"/>
  <c r="C406" i="1"/>
  <c r="D406" i="1"/>
  <c r="E406" i="1"/>
  <c r="G406" i="1"/>
  <c r="K407" i="1"/>
  <c r="B407" i="1"/>
  <c r="C407" i="1"/>
  <c r="D407" i="1"/>
  <c r="E407" i="1"/>
  <c r="G407" i="1"/>
  <c r="K408" i="1"/>
  <c r="B408" i="1"/>
  <c r="C408" i="1"/>
  <c r="D408" i="1"/>
  <c r="E408" i="1"/>
  <c r="G408" i="1"/>
  <c r="K409" i="1"/>
  <c r="B409" i="1"/>
  <c r="C409" i="1"/>
  <c r="D409" i="1"/>
  <c r="E409" i="1"/>
  <c r="G409" i="1"/>
  <c r="K410" i="1"/>
  <c r="B410" i="1"/>
  <c r="C410" i="1"/>
  <c r="D410" i="1"/>
  <c r="E410" i="1"/>
  <c r="G410" i="1"/>
  <c r="K411" i="1"/>
  <c r="B411" i="1"/>
  <c r="C411" i="1"/>
  <c r="D411" i="1"/>
  <c r="E411" i="1"/>
  <c r="G411" i="1"/>
  <c r="K412" i="1"/>
  <c r="B412" i="1"/>
  <c r="C412" i="1"/>
  <c r="D412" i="1"/>
  <c r="E412" i="1"/>
  <c r="G412" i="1"/>
  <c r="K413" i="1"/>
  <c r="B413" i="1"/>
  <c r="C413" i="1"/>
  <c r="D413" i="1"/>
  <c r="E413" i="1"/>
  <c r="G413" i="1"/>
  <c r="K414" i="1"/>
  <c r="B414" i="1"/>
  <c r="C414" i="1"/>
  <c r="D414" i="1"/>
  <c r="E414" i="1"/>
  <c r="G414" i="1"/>
  <c r="K415" i="1"/>
  <c r="B415" i="1"/>
  <c r="C415" i="1"/>
  <c r="D415" i="1"/>
  <c r="E415" i="1"/>
  <c r="G415" i="1"/>
  <c r="K416" i="1"/>
  <c r="B416" i="1"/>
  <c r="C416" i="1"/>
  <c r="D416" i="1"/>
  <c r="E416" i="1"/>
  <c r="G416" i="1"/>
  <c r="K417" i="1"/>
  <c r="B417" i="1"/>
  <c r="C417" i="1"/>
  <c r="D417" i="1"/>
  <c r="E417" i="1"/>
  <c r="G417" i="1"/>
  <c r="K418" i="1"/>
  <c r="B418" i="1"/>
  <c r="C418" i="1"/>
  <c r="D418" i="1"/>
  <c r="E418" i="1"/>
  <c r="G418" i="1"/>
  <c r="K419" i="1"/>
  <c r="B419" i="1"/>
  <c r="C419" i="1"/>
  <c r="D419" i="1"/>
  <c r="E419" i="1"/>
  <c r="G419" i="1"/>
  <c r="K420" i="1"/>
  <c r="B420" i="1"/>
  <c r="C420" i="1"/>
  <c r="D420" i="1"/>
  <c r="E420" i="1"/>
  <c r="G420" i="1"/>
  <c r="K421" i="1"/>
  <c r="B421" i="1"/>
  <c r="C421" i="1"/>
  <c r="D421" i="1"/>
  <c r="E421" i="1"/>
  <c r="G421" i="1"/>
  <c r="K422" i="1"/>
  <c r="B422" i="1"/>
  <c r="C422" i="1"/>
  <c r="D422" i="1"/>
  <c r="E422" i="1"/>
  <c r="G422" i="1"/>
  <c r="K423" i="1"/>
  <c r="B423" i="1"/>
  <c r="C423" i="1"/>
  <c r="D423" i="1"/>
  <c r="E423" i="1"/>
  <c r="G423" i="1"/>
  <c r="K424" i="1"/>
  <c r="B424" i="1"/>
  <c r="C424" i="1"/>
  <c r="D424" i="1"/>
  <c r="E424" i="1"/>
  <c r="G424" i="1"/>
  <c r="K425" i="1"/>
  <c r="B425" i="1"/>
  <c r="C425" i="1"/>
  <c r="D425" i="1"/>
  <c r="E425" i="1"/>
  <c r="G425" i="1"/>
  <c r="K426" i="1"/>
  <c r="B426" i="1"/>
  <c r="C426" i="1"/>
  <c r="D426" i="1"/>
  <c r="E426" i="1"/>
  <c r="G426" i="1"/>
  <c r="K427" i="1"/>
  <c r="B427" i="1"/>
  <c r="C427" i="1"/>
  <c r="D427" i="1"/>
  <c r="E427" i="1"/>
  <c r="G427" i="1"/>
  <c r="K428" i="1"/>
  <c r="B428" i="1"/>
  <c r="C428" i="1"/>
  <c r="D428" i="1"/>
  <c r="E428" i="1"/>
  <c r="G428" i="1"/>
  <c r="K429" i="1"/>
  <c r="B429" i="1"/>
  <c r="C429" i="1"/>
  <c r="D429" i="1"/>
  <c r="E429" i="1"/>
  <c r="G429" i="1"/>
  <c r="K430" i="1"/>
  <c r="B430" i="1"/>
  <c r="C430" i="1"/>
  <c r="D430" i="1"/>
  <c r="E430" i="1"/>
  <c r="G430" i="1"/>
  <c r="K431" i="1"/>
  <c r="B431" i="1"/>
  <c r="C431" i="1"/>
  <c r="D431" i="1"/>
  <c r="E431" i="1"/>
  <c r="G431" i="1"/>
  <c r="K432" i="1"/>
  <c r="B432" i="1"/>
  <c r="C432" i="1"/>
  <c r="D432" i="1"/>
  <c r="E432" i="1"/>
  <c r="G432" i="1"/>
  <c r="K433" i="1"/>
  <c r="B433" i="1"/>
  <c r="C433" i="1"/>
  <c r="D433" i="1"/>
  <c r="E433" i="1"/>
  <c r="G433" i="1"/>
  <c r="K434" i="1"/>
  <c r="B434" i="1"/>
  <c r="C434" i="1"/>
  <c r="D434" i="1"/>
  <c r="E434" i="1"/>
  <c r="G434" i="1"/>
  <c r="K435" i="1"/>
  <c r="B435" i="1"/>
  <c r="C435" i="1"/>
  <c r="D435" i="1"/>
  <c r="E435" i="1"/>
  <c r="G435" i="1"/>
  <c r="K436" i="1"/>
  <c r="B436" i="1"/>
  <c r="C436" i="1"/>
  <c r="D436" i="1"/>
  <c r="E436" i="1"/>
  <c r="G436" i="1"/>
  <c r="K437" i="1"/>
  <c r="B437" i="1"/>
  <c r="C437" i="1"/>
  <c r="D437" i="1"/>
  <c r="E437" i="1"/>
  <c r="G437" i="1"/>
  <c r="K438" i="1"/>
  <c r="B438" i="1"/>
  <c r="C438" i="1"/>
  <c r="D438" i="1"/>
  <c r="E438" i="1"/>
  <c r="G438" i="1"/>
  <c r="K439" i="1"/>
  <c r="B439" i="1"/>
  <c r="C439" i="1"/>
  <c r="D439" i="1"/>
  <c r="E439" i="1"/>
  <c r="G439" i="1"/>
  <c r="K440" i="1"/>
  <c r="B440" i="1"/>
  <c r="C440" i="1"/>
  <c r="D440" i="1"/>
  <c r="E440" i="1"/>
  <c r="G440" i="1"/>
  <c r="K441" i="1"/>
  <c r="B441" i="1"/>
  <c r="C441" i="1"/>
  <c r="D441" i="1"/>
  <c r="E441" i="1"/>
  <c r="G441" i="1"/>
  <c r="K442" i="1"/>
  <c r="B442" i="1"/>
  <c r="C442" i="1"/>
  <c r="D442" i="1"/>
  <c r="E442" i="1"/>
  <c r="G442" i="1"/>
  <c r="K443" i="1"/>
  <c r="B443" i="1"/>
  <c r="C443" i="1"/>
  <c r="D443" i="1"/>
  <c r="E443" i="1"/>
  <c r="G443" i="1"/>
  <c r="K444" i="1"/>
  <c r="B444" i="1"/>
  <c r="C444" i="1"/>
  <c r="D444" i="1"/>
  <c r="E444" i="1"/>
  <c r="G444" i="1"/>
  <c r="K445" i="1"/>
  <c r="B445" i="1"/>
  <c r="C445" i="1"/>
  <c r="D445" i="1"/>
  <c r="E445" i="1"/>
  <c r="G445" i="1"/>
  <c r="K446" i="1"/>
  <c r="B446" i="1"/>
  <c r="C446" i="1"/>
  <c r="D446" i="1"/>
  <c r="E446" i="1"/>
  <c r="G446" i="1"/>
  <c r="K447" i="1"/>
  <c r="B447" i="1"/>
  <c r="C447" i="1"/>
  <c r="D447" i="1"/>
  <c r="E447" i="1"/>
  <c r="G447" i="1"/>
  <c r="K448" i="1"/>
  <c r="B448" i="1"/>
  <c r="C448" i="1"/>
  <c r="D448" i="1"/>
  <c r="E448" i="1"/>
  <c r="G448" i="1"/>
  <c r="K449" i="1"/>
  <c r="B449" i="1"/>
  <c r="C449" i="1"/>
  <c r="D449" i="1"/>
  <c r="E449" i="1"/>
  <c r="G449" i="1"/>
  <c r="K450" i="1"/>
  <c r="B450" i="1"/>
  <c r="C450" i="1"/>
  <c r="D450" i="1"/>
  <c r="E450" i="1"/>
  <c r="G450" i="1"/>
  <c r="K451" i="1"/>
  <c r="B451" i="1"/>
  <c r="C451" i="1"/>
  <c r="D451" i="1"/>
  <c r="E451" i="1"/>
  <c r="G451" i="1"/>
  <c r="K452" i="1"/>
  <c r="B452" i="1"/>
  <c r="C452" i="1"/>
  <c r="D452" i="1"/>
  <c r="E452" i="1"/>
  <c r="G452" i="1"/>
  <c r="K453" i="1"/>
  <c r="B453" i="1"/>
  <c r="C453" i="1"/>
  <c r="D453" i="1"/>
  <c r="E453" i="1"/>
  <c r="G453" i="1"/>
  <c r="K454" i="1"/>
  <c r="B454" i="1"/>
  <c r="C454" i="1"/>
  <c r="D454" i="1"/>
  <c r="E454" i="1"/>
  <c r="G454" i="1"/>
  <c r="K455" i="1"/>
  <c r="B455" i="1"/>
  <c r="C455" i="1"/>
  <c r="D455" i="1"/>
  <c r="E455" i="1"/>
  <c r="G455" i="1"/>
  <c r="K456" i="1"/>
  <c r="B456" i="1"/>
  <c r="C456" i="1"/>
  <c r="D456" i="1"/>
  <c r="E456" i="1"/>
  <c r="G456" i="1"/>
  <c r="K457" i="1"/>
  <c r="B457" i="1"/>
  <c r="C457" i="1"/>
  <c r="D457" i="1"/>
  <c r="E457" i="1"/>
  <c r="G457" i="1"/>
  <c r="K458" i="1"/>
  <c r="B458" i="1"/>
  <c r="C458" i="1"/>
  <c r="D458" i="1"/>
  <c r="E458" i="1"/>
  <c r="G458" i="1"/>
  <c r="K459" i="1"/>
  <c r="B459" i="1"/>
  <c r="C459" i="1"/>
  <c r="D459" i="1"/>
  <c r="E459" i="1"/>
  <c r="G459" i="1"/>
  <c r="K460" i="1"/>
  <c r="B460" i="1"/>
  <c r="C460" i="1"/>
  <c r="D460" i="1"/>
  <c r="E460" i="1"/>
  <c r="G460" i="1"/>
  <c r="K461" i="1"/>
  <c r="B461" i="1"/>
  <c r="C461" i="1"/>
  <c r="D461" i="1"/>
  <c r="E461" i="1"/>
  <c r="G461" i="1"/>
  <c r="K462" i="1"/>
  <c r="B462" i="1"/>
  <c r="C462" i="1"/>
  <c r="D462" i="1"/>
  <c r="E462" i="1"/>
  <c r="G462" i="1"/>
  <c r="K463" i="1"/>
  <c r="B463" i="1"/>
  <c r="C463" i="1"/>
  <c r="D463" i="1"/>
  <c r="E463" i="1"/>
  <c r="G463" i="1"/>
  <c r="K464" i="1"/>
  <c r="B464" i="1"/>
  <c r="C464" i="1"/>
  <c r="D464" i="1"/>
  <c r="E464" i="1"/>
  <c r="G464" i="1"/>
  <c r="K465" i="1"/>
  <c r="B465" i="1"/>
  <c r="C465" i="1"/>
  <c r="D465" i="1"/>
  <c r="E465" i="1"/>
  <c r="G465" i="1"/>
  <c r="K466" i="1"/>
  <c r="B466" i="1"/>
  <c r="C466" i="1"/>
  <c r="D466" i="1"/>
  <c r="E466" i="1"/>
  <c r="G466" i="1"/>
  <c r="K467" i="1"/>
  <c r="B467" i="1"/>
  <c r="C467" i="1"/>
  <c r="D467" i="1"/>
  <c r="E467" i="1"/>
  <c r="G467" i="1"/>
  <c r="K468" i="1"/>
  <c r="B468" i="1"/>
  <c r="C468" i="1"/>
  <c r="D468" i="1"/>
  <c r="E468" i="1"/>
  <c r="G468" i="1"/>
  <c r="K469" i="1"/>
  <c r="B469" i="1"/>
  <c r="C469" i="1"/>
  <c r="D469" i="1"/>
  <c r="E469" i="1"/>
  <c r="G469" i="1"/>
  <c r="K470" i="1"/>
  <c r="B470" i="1"/>
  <c r="C470" i="1"/>
  <c r="D470" i="1"/>
  <c r="E470" i="1"/>
  <c r="G470" i="1"/>
  <c r="K471" i="1"/>
  <c r="B471" i="1"/>
  <c r="C471" i="1"/>
  <c r="D471" i="1"/>
  <c r="E471" i="1"/>
  <c r="G471" i="1"/>
  <c r="K472" i="1"/>
  <c r="B472" i="1"/>
  <c r="C472" i="1"/>
  <c r="D472" i="1"/>
  <c r="E472" i="1"/>
  <c r="G472" i="1"/>
  <c r="K473" i="1"/>
  <c r="B473" i="1"/>
  <c r="C473" i="1"/>
  <c r="D473" i="1"/>
  <c r="E473" i="1"/>
  <c r="G473" i="1"/>
  <c r="K474" i="1"/>
  <c r="B474" i="1"/>
  <c r="C474" i="1"/>
  <c r="D474" i="1"/>
  <c r="E474" i="1"/>
  <c r="G474" i="1"/>
  <c r="K475" i="1"/>
  <c r="B475" i="1"/>
  <c r="C475" i="1"/>
  <c r="D475" i="1"/>
  <c r="E475" i="1"/>
  <c r="G475" i="1"/>
  <c r="K476" i="1"/>
  <c r="B476" i="1"/>
  <c r="C476" i="1"/>
  <c r="D476" i="1"/>
  <c r="E476" i="1"/>
  <c r="G476" i="1"/>
  <c r="K477" i="1"/>
  <c r="B477" i="1"/>
  <c r="C477" i="1"/>
  <c r="D477" i="1"/>
  <c r="E477" i="1"/>
  <c r="G477" i="1"/>
  <c r="K478" i="1"/>
  <c r="B478" i="1"/>
  <c r="C478" i="1"/>
  <c r="D478" i="1"/>
  <c r="E478" i="1"/>
  <c r="G478" i="1"/>
  <c r="K479" i="1"/>
  <c r="B479" i="1"/>
  <c r="C479" i="1"/>
  <c r="D479" i="1"/>
  <c r="E479" i="1"/>
  <c r="G479" i="1"/>
  <c r="K480" i="1"/>
  <c r="B480" i="1"/>
  <c r="C480" i="1"/>
  <c r="D480" i="1"/>
  <c r="E480" i="1"/>
  <c r="G480" i="1"/>
  <c r="K481" i="1"/>
  <c r="B481" i="1"/>
  <c r="C481" i="1"/>
  <c r="D481" i="1"/>
  <c r="E481" i="1"/>
  <c r="G481" i="1"/>
  <c r="K482" i="1"/>
  <c r="B482" i="1"/>
  <c r="C482" i="1"/>
  <c r="D482" i="1"/>
  <c r="E482" i="1"/>
  <c r="G482" i="1"/>
  <c r="K483" i="1"/>
  <c r="B483" i="1"/>
  <c r="C483" i="1"/>
  <c r="D483" i="1"/>
  <c r="E483" i="1"/>
  <c r="G483" i="1"/>
  <c r="K484" i="1"/>
  <c r="B484" i="1"/>
  <c r="C484" i="1"/>
  <c r="D484" i="1"/>
  <c r="E484" i="1"/>
  <c r="G484" i="1"/>
  <c r="K485" i="1"/>
  <c r="B485" i="1"/>
  <c r="C485" i="1"/>
  <c r="D485" i="1"/>
  <c r="E485" i="1"/>
  <c r="G485" i="1"/>
  <c r="K486" i="1"/>
  <c r="B486" i="1"/>
  <c r="C486" i="1"/>
  <c r="D486" i="1"/>
  <c r="E486" i="1"/>
  <c r="G486" i="1"/>
  <c r="K487" i="1"/>
  <c r="B487" i="1"/>
  <c r="C487" i="1"/>
  <c r="D487" i="1"/>
  <c r="E487" i="1"/>
  <c r="G487" i="1"/>
  <c r="K488" i="1"/>
  <c r="B488" i="1"/>
  <c r="C488" i="1"/>
  <c r="D488" i="1"/>
  <c r="E488" i="1"/>
  <c r="G488" i="1"/>
  <c r="K489" i="1"/>
  <c r="B489" i="1"/>
  <c r="C489" i="1"/>
  <c r="D489" i="1"/>
  <c r="E489" i="1"/>
  <c r="G489" i="1"/>
  <c r="K490" i="1"/>
  <c r="B490" i="1"/>
  <c r="C490" i="1"/>
  <c r="D490" i="1"/>
  <c r="E490" i="1"/>
  <c r="G490" i="1"/>
  <c r="K491" i="1"/>
  <c r="B491" i="1"/>
  <c r="C491" i="1"/>
  <c r="D491" i="1"/>
  <c r="E491" i="1"/>
  <c r="G491" i="1"/>
  <c r="K492" i="1"/>
  <c r="B492" i="1"/>
  <c r="C492" i="1"/>
  <c r="D492" i="1"/>
  <c r="E492" i="1"/>
  <c r="G492" i="1"/>
  <c r="K493" i="1"/>
  <c r="B493" i="1"/>
  <c r="C493" i="1"/>
  <c r="D493" i="1"/>
  <c r="E493" i="1"/>
  <c r="G493" i="1"/>
  <c r="K494" i="1"/>
  <c r="B494" i="1"/>
  <c r="C494" i="1"/>
  <c r="D494" i="1"/>
  <c r="E494" i="1"/>
  <c r="G494" i="1"/>
  <c r="K495" i="1"/>
  <c r="B495" i="1"/>
  <c r="C495" i="1"/>
  <c r="D495" i="1"/>
  <c r="E495" i="1"/>
  <c r="G495" i="1"/>
  <c r="K496" i="1"/>
  <c r="B496" i="1"/>
  <c r="C496" i="1"/>
  <c r="D496" i="1"/>
  <c r="E496" i="1"/>
  <c r="G496" i="1"/>
  <c r="K497" i="1"/>
  <c r="B497" i="1"/>
  <c r="C497" i="1"/>
  <c r="D497" i="1"/>
  <c r="E497" i="1"/>
  <c r="G497" i="1"/>
  <c r="K498" i="1"/>
  <c r="B498" i="1"/>
  <c r="C498" i="1"/>
  <c r="D498" i="1"/>
  <c r="E498" i="1"/>
  <c r="G498" i="1"/>
  <c r="K499" i="1"/>
  <c r="B499" i="1"/>
  <c r="C499" i="1"/>
  <c r="D499" i="1"/>
  <c r="E499" i="1"/>
  <c r="G499" i="1"/>
  <c r="K500" i="1"/>
  <c r="B500" i="1"/>
  <c r="C500" i="1"/>
  <c r="D500" i="1"/>
  <c r="E500" i="1"/>
  <c r="G500" i="1"/>
  <c r="K501" i="1"/>
  <c r="B501" i="1"/>
  <c r="C501" i="1"/>
  <c r="D501" i="1"/>
  <c r="E501" i="1"/>
  <c r="G501" i="1"/>
  <c r="K502" i="1"/>
  <c r="B502" i="1"/>
  <c r="C502" i="1"/>
  <c r="D502" i="1"/>
  <c r="E502" i="1"/>
  <c r="G502" i="1"/>
  <c r="K503" i="1"/>
  <c r="B503" i="1"/>
  <c r="C503" i="1"/>
  <c r="D503" i="1"/>
  <c r="E503" i="1"/>
  <c r="G503" i="1"/>
  <c r="K504" i="1"/>
  <c r="B504" i="1"/>
  <c r="C504" i="1"/>
  <c r="D504" i="1"/>
  <c r="E504" i="1"/>
  <c r="G504" i="1"/>
  <c r="K505" i="1"/>
  <c r="B505" i="1"/>
  <c r="C505" i="1"/>
  <c r="D505" i="1"/>
  <c r="E505" i="1"/>
  <c r="G505" i="1"/>
  <c r="K506" i="1"/>
  <c r="B506" i="1"/>
  <c r="C506" i="1"/>
  <c r="D506" i="1"/>
  <c r="E506" i="1"/>
  <c r="G506" i="1"/>
  <c r="K507" i="1"/>
  <c r="B507" i="1"/>
  <c r="C507" i="1"/>
  <c r="D507" i="1"/>
  <c r="E507" i="1"/>
  <c r="G507" i="1"/>
  <c r="K508" i="1"/>
  <c r="B508" i="1"/>
  <c r="C508" i="1"/>
  <c r="D508" i="1"/>
  <c r="E508" i="1"/>
  <c r="G508" i="1"/>
  <c r="K509" i="1"/>
  <c r="B509" i="1"/>
  <c r="C509" i="1"/>
  <c r="D509" i="1"/>
  <c r="E509" i="1"/>
  <c r="G509" i="1"/>
  <c r="K510" i="1"/>
  <c r="B510" i="1"/>
  <c r="C510" i="1"/>
  <c r="D510" i="1"/>
  <c r="E510" i="1"/>
  <c r="G510" i="1"/>
  <c r="K511" i="1"/>
  <c r="B511" i="1"/>
  <c r="C511" i="1"/>
  <c r="D511" i="1"/>
  <c r="E511" i="1"/>
  <c r="G511" i="1"/>
  <c r="K512" i="1"/>
  <c r="B512" i="1"/>
  <c r="C512" i="1"/>
  <c r="D512" i="1"/>
  <c r="E512" i="1"/>
  <c r="G512" i="1"/>
  <c r="K513" i="1"/>
  <c r="B513" i="1"/>
  <c r="C513" i="1"/>
  <c r="D513" i="1"/>
  <c r="E513" i="1"/>
  <c r="G513" i="1"/>
  <c r="K514" i="1"/>
  <c r="B514" i="1"/>
  <c r="C514" i="1"/>
  <c r="D514" i="1"/>
  <c r="E514" i="1"/>
  <c r="G514" i="1"/>
  <c r="K515" i="1"/>
  <c r="B515" i="1"/>
  <c r="C515" i="1"/>
  <c r="D515" i="1"/>
  <c r="E515" i="1"/>
  <c r="G515" i="1"/>
  <c r="K516" i="1"/>
  <c r="B516" i="1"/>
  <c r="C516" i="1"/>
  <c r="D516" i="1"/>
  <c r="E516" i="1"/>
  <c r="G516" i="1"/>
  <c r="K517" i="1"/>
  <c r="B517" i="1"/>
  <c r="C517" i="1"/>
  <c r="D517" i="1"/>
  <c r="E517" i="1"/>
  <c r="G517" i="1"/>
  <c r="K518" i="1"/>
  <c r="B518" i="1"/>
  <c r="C518" i="1"/>
  <c r="D518" i="1"/>
  <c r="E518" i="1"/>
  <c r="G518" i="1"/>
  <c r="K519" i="1"/>
  <c r="B519" i="1"/>
  <c r="C519" i="1"/>
  <c r="D519" i="1"/>
  <c r="E519" i="1"/>
  <c r="G519" i="1"/>
  <c r="K520" i="1"/>
  <c r="B520" i="1"/>
  <c r="C520" i="1"/>
  <c r="D520" i="1"/>
  <c r="E520" i="1"/>
  <c r="G520" i="1"/>
  <c r="K521" i="1"/>
  <c r="B521" i="1"/>
  <c r="C521" i="1"/>
  <c r="D521" i="1"/>
  <c r="E521" i="1"/>
  <c r="G521" i="1"/>
  <c r="K522" i="1"/>
  <c r="B522" i="1"/>
  <c r="C522" i="1"/>
  <c r="D522" i="1"/>
  <c r="E522" i="1"/>
  <c r="G522" i="1"/>
  <c r="K523" i="1"/>
  <c r="B523" i="1"/>
  <c r="C523" i="1"/>
  <c r="D523" i="1"/>
  <c r="E523" i="1"/>
  <c r="G523" i="1"/>
  <c r="K524" i="1"/>
  <c r="B524" i="1"/>
  <c r="C524" i="1"/>
  <c r="D524" i="1"/>
  <c r="E524" i="1"/>
  <c r="G524" i="1"/>
  <c r="K525" i="1"/>
  <c r="B525" i="1"/>
  <c r="C525" i="1"/>
  <c r="D525" i="1"/>
  <c r="E525" i="1"/>
  <c r="G525" i="1"/>
  <c r="K526" i="1"/>
  <c r="B526" i="1"/>
  <c r="C526" i="1"/>
  <c r="D526" i="1"/>
  <c r="E526" i="1"/>
  <c r="G526" i="1"/>
  <c r="K527" i="1"/>
  <c r="B527" i="1"/>
  <c r="C527" i="1"/>
  <c r="D527" i="1"/>
  <c r="E527" i="1"/>
  <c r="G527" i="1"/>
  <c r="K528" i="1"/>
  <c r="B528" i="1"/>
  <c r="C528" i="1"/>
  <c r="D528" i="1"/>
  <c r="E528" i="1"/>
  <c r="G528" i="1"/>
  <c r="K529" i="1"/>
  <c r="B529" i="1"/>
  <c r="C529" i="1"/>
  <c r="D529" i="1"/>
  <c r="E529" i="1"/>
  <c r="G529" i="1"/>
  <c r="K530" i="1"/>
  <c r="B530" i="1"/>
  <c r="C530" i="1"/>
  <c r="D530" i="1"/>
  <c r="E530" i="1"/>
  <c r="G530" i="1"/>
  <c r="K531" i="1"/>
  <c r="B531" i="1"/>
  <c r="C531" i="1"/>
  <c r="D531" i="1"/>
  <c r="E531" i="1"/>
  <c r="G531" i="1"/>
  <c r="K532" i="1"/>
  <c r="B532" i="1"/>
  <c r="C532" i="1"/>
  <c r="D532" i="1"/>
  <c r="E532" i="1"/>
  <c r="G532" i="1"/>
  <c r="K533" i="1"/>
  <c r="B533" i="1"/>
  <c r="C533" i="1"/>
  <c r="D533" i="1"/>
  <c r="E533" i="1"/>
  <c r="G533" i="1"/>
  <c r="K534" i="1"/>
  <c r="B534" i="1"/>
  <c r="C534" i="1"/>
  <c r="D534" i="1"/>
  <c r="E534" i="1"/>
  <c r="G534" i="1"/>
  <c r="K535" i="1"/>
  <c r="B535" i="1"/>
  <c r="C535" i="1"/>
  <c r="D535" i="1"/>
  <c r="E535" i="1"/>
  <c r="G535" i="1"/>
  <c r="K536" i="1"/>
  <c r="B536" i="1"/>
  <c r="C536" i="1"/>
  <c r="D536" i="1"/>
  <c r="E536" i="1"/>
  <c r="G536" i="1"/>
  <c r="K537" i="1"/>
  <c r="B537" i="1"/>
  <c r="C537" i="1"/>
  <c r="D537" i="1"/>
  <c r="E537" i="1"/>
  <c r="G537" i="1"/>
  <c r="K538" i="1"/>
  <c r="B538" i="1"/>
  <c r="C538" i="1"/>
  <c r="D538" i="1"/>
  <c r="E538" i="1"/>
  <c r="G538" i="1"/>
  <c r="K539" i="1"/>
  <c r="B539" i="1"/>
  <c r="C539" i="1"/>
  <c r="D539" i="1"/>
  <c r="E539" i="1"/>
  <c r="G539" i="1"/>
  <c r="K540" i="1"/>
  <c r="B540" i="1"/>
  <c r="C540" i="1"/>
  <c r="D540" i="1"/>
  <c r="E540" i="1"/>
  <c r="G540" i="1"/>
  <c r="K541" i="1"/>
  <c r="B541" i="1"/>
  <c r="C541" i="1"/>
  <c r="D541" i="1"/>
  <c r="E541" i="1"/>
  <c r="G541" i="1"/>
  <c r="K542" i="1"/>
  <c r="B542" i="1"/>
  <c r="C542" i="1"/>
  <c r="D542" i="1"/>
  <c r="E542" i="1"/>
  <c r="G542" i="1"/>
  <c r="K543" i="1"/>
  <c r="B543" i="1"/>
  <c r="C543" i="1"/>
  <c r="D543" i="1"/>
  <c r="E543" i="1"/>
  <c r="G543" i="1"/>
  <c r="K544" i="1"/>
  <c r="B544" i="1"/>
  <c r="C544" i="1"/>
  <c r="D544" i="1"/>
  <c r="E544" i="1"/>
  <c r="G544" i="1"/>
  <c r="K545" i="1"/>
  <c r="B545" i="1"/>
  <c r="C545" i="1"/>
  <c r="D545" i="1"/>
  <c r="E545" i="1"/>
  <c r="G545" i="1"/>
  <c r="K546" i="1"/>
  <c r="B546" i="1"/>
  <c r="C546" i="1"/>
  <c r="D546" i="1"/>
  <c r="E546" i="1"/>
  <c r="G546" i="1"/>
  <c r="K547" i="1"/>
  <c r="B547" i="1"/>
  <c r="C547" i="1"/>
  <c r="D547" i="1"/>
  <c r="E547" i="1"/>
  <c r="G547" i="1"/>
  <c r="K548" i="1"/>
  <c r="B548" i="1"/>
  <c r="C548" i="1"/>
  <c r="D548" i="1"/>
  <c r="E548" i="1"/>
  <c r="G548" i="1"/>
  <c r="K549" i="1"/>
  <c r="B549" i="1"/>
  <c r="C549" i="1"/>
  <c r="D549" i="1"/>
  <c r="E549" i="1"/>
  <c r="G549" i="1"/>
  <c r="K550" i="1"/>
  <c r="B550" i="1"/>
  <c r="C550" i="1"/>
  <c r="D550" i="1"/>
  <c r="E550" i="1"/>
  <c r="G550" i="1"/>
  <c r="K551" i="1"/>
  <c r="B551" i="1"/>
  <c r="C551" i="1"/>
  <c r="D551" i="1"/>
  <c r="E551" i="1"/>
  <c r="G551" i="1"/>
  <c r="K552" i="1"/>
  <c r="B552" i="1"/>
  <c r="C552" i="1"/>
  <c r="D552" i="1"/>
  <c r="E552" i="1"/>
  <c r="G552" i="1"/>
  <c r="K553" i="1"/>
  <c r="B553" i="1"/>
  <c r="C553" i="1"/>
  <c r="D553" i="1"/>
  <c r="E553" i="1"/>
  <c r="G553" i="1"/>
  <c r="K554" i="1"/>
  <c r="B554" i="1"/>
  <c r="C554" i="1"/>
  <c r="D554" i="1"/>
  <c r="E554" i="1"/>
  <c r="G554" i="1"/>
  <c r="K555" i="1"/>
  <c r="B555" i="1"/>
  <c r="C555" i="1"/>
  <c r="D555" i="1"/>
  <c r="E555" i="1"/>
  <c r="G555" i="1"/>
  <c r="K556" i="1"/>
  <c r="B556" i="1"/>
  <c r="C556" i="1"/>
  <c r="D556" i="1"/>
  <c r="E556" i="1"/>
  <c r="G556" i="1"/>
  <c r="K557" i="1"/>
  <c r="B557" i="1"/>
  <c r="C557" i="1"/>
  <c r="D557" i="1"/>
  <c r="E557" i="1"/>
  <c r="G557" i="1"/>
  <c r="K558" i="1"/>
  <c r="B558" i="1"/>
  <c r="C558" i="1"/>
  <c r="D558" i="1"/>
  <c r="E558" i="1"/>
  <c r="G558" i="1"/>
  <c r="K559" i="1"/>
  <c r="B559" i="1"/>
  <c r="C559" i="1"/>
  <c r="D559" i="1"/>
  <c r="E559" i="1"/>
  <c r="G559" i="1"/>
  <c r="K560" i="1"/>
  <c r="B560" i="1"/>
  <c r="C560" i="1"/>
  <c r="D560" i="1"/>
  <c r="E560" i="1"/>
  <c r="G560" i="1"/>
  <c r="K561" i="1"/>
  <c r="B561" i="1"/>
  <c r="C561" i="1"/>
  <c r="D561" i="1"/>
  <c r="E561" i="1"/>
  <c r="G561" i="1"/>
  <c r="K562" i="1"/>
  <c r="B562" i="1"/>
  <c r="C562" i="1"/>
  <c r="D562" i="1"/>
  <c r="E562" i="1"/>
  <c r="G562" i="1"/>
  <c r="K563" i="1"/>
  <c r="B563" i="1"/>
  <c r="C563" i="1"/>
  <c r="D563" i="1"/>
  <c r="E563" i="1"/>
  <c r="G563" i="1"/>
  <c r="K564" i="1"/>
  <c r="B564" i="1"/>
  <c r="C564" i="1"/>
  <c r="D564" i="1"/>
  <c r="E564" i="1"/>
  <c r="G564" i="1"/>
  <c r="K565" i="1"/>
  <c r="B565" i="1"/>
  <c r="C565" i="1"/>
  <c r="D565" i="1"/>
  <c r="E565" i="1"/>
  <c r="G565" i="1"/>
  <c r="K566" i="1"/>
  <c r="B566" i="1"/>
  <c r="C566" i="1"/>
  <c r="D566" i="1"/>
  <c r="E566" i="1"/>
  <c r="G566" i="1"/>
  <c r="K567" i="1"/>
  <c r="B567" i="1"/>
  <c r="C567" i="1"/>
  <c r="D567" i="1"/>
  <c r="E567" i="1"/>
  <c r="G567" i="1"/>
  <c r="K568" i="1"/>
  <c r="B568" i="1"/>
  <c r="C568" i="1"/>
  <c r="D568" i="1"/>
  <c r="E568" i="1"/>
  <c r="G568" i="1"/>
  <c r="K569" i="1"/>
  <c r="B569" i="1"/>
  <c r="C569" i="1"/>
  <c r="D569" i="1"/>
  <c r="E569" i="1"/>
  <c r="G569" i="1"/>
  <c r="K570" i="1"/>
  <c r="B570" i="1"/>
  <c r="C570" i="1"/>
  <c r="D570" i="1"/>
  <c r="E570" i="1"/>
  <c r="G570" i="1"/>
  <c r="K571" i="1"/>
  <c r="B571" i="1"/>
  <c r="C571" i="1"/>
  <c r="D571" i="1"/>
  <c r="E571" i="1"/>
  <c r="G571" i="1"/>
  <c r="K572" i="1"/>
  <c r="B572" i="1"/>
  <c r="C572" i="1"/>
  <c r="D572" i="1"/>
  <c r="E572" i="1"/>
  <c r="G572" i="1"/>
  <c r="K573" i="1"/>
  <c r="B573" i="1"/>
  <c r="C573" i="1"/>
  <c r="D573" i="1"/>
  <c r="E573" i="1"/>
  <c r="G573" i="1"/>
  <c r="K574" i="1"/>
  <c r="B574" i="1"/>
  <c r="C574" i="1"/>
  <c r="D574" i="1"/>
  <c r="E574" i="1"/>
  <c r="G574" i="1"/>
  <c r="K575" i="1"/>
  <c r="B575" i="1"/>
  <c r="C575" i="1"/>
  <c r="D575" i="1"/>
  <c r="E575" i="1"/>
  <c r="G575" i="1"/>
  <c r="K576" i="1"/>
  <c r="B576" i="1"/>
  <c r="C576" i="1"/>
  <c r="D576" i="1"/>
  <c r="E576" i="1"/>
  <c r="G576" i="1"/>
  <c r="K577" i="1"/>
  <c r="B577" i="1"/>
  <c r="C577" i="1"/>
  <c r="D577" i="1"/>
  <c r="E577" i="1"/>
  <c r="G577" i="1"/>
  <c r="K578" i="1"/>
  <c r="B578" i="1"/>
  <c r="C578" i="1"/>
  <c r="D578" i="1"/>
  <c r="E578" i="1"/>
  <c r="G578" i="1"/>
  <c r="K579" i="1"/>
  <c r="B579" i="1"/>
  <c r="C579" i="1"/>
  <c r="D579" i="1"/>
  <c r="E579" i="1"/>
  <c r="G579" i="1"/>
  <c r="K580" i="1"/>
  <c r="B580" i="1"/>
  <c r="C580" i="1"/>
  <c r="D580" i="1"/>
  <c r="E580" i="1"/>
  <c r="G580" i="1"/>
  <c r="K581" i="1"/>
  <c r="B581" i="1"/>
  <c r="C581" i="1"/>
  <c r="D581" i="1"/>
  <c r="E581" i="1"/>
  <c r="G581" i="1"/>
  <c r="K582" i="1"/>
  <c r="B582" i="1"/>
  <c r="C582" i="1"/>
  <c r="D582" i="1"/>
  <c r="E582" i="1"/>
  <c r="G582" i="1"/>
  <c r="K583" i="1"/>
  <c r="B583" i="1"/>
  <c r="C583" i="1"/>
  <c r="D583" i="1"/>
  <c r="E583" i="1"/>
  <c r="G583" i="1"/>
  <c r="K584" i="1"/>
  <c r="B584" i="1"/>
  <c r="C584" i="1"/>
  <c r="D584" i="1"/>
  <c r="E584" i="1"/>
  <c r="G584" i="1"/>
  <c r="K585" i="1"/>
  <c r="B585" i="1"/>
  <c r="C585" i="1"/>
  <c r="D585" i="1"/>
  <c r="E585" i="1"/>
  <c r="G585" i="1"/>
  <c r="K586" i="1"/>
  <c r="B586" i="1"/>
  <c r="C586" i="1"/>
  <c r="D586" i="1"/>
  <c r="E586" i="1"/>
  <c r="G586" i="1"/>
  <c r="K587" i="1"/>
  <c r="B587" i="1"/>
  <c r="C587" i="1"/>
  <c r="D587" i="1"/>
  <c r="E587" i="1"/>
  <c r="G587" i="1"/>
  <c r="K588" i="1"/>
  <c r="B588" i="1"/>
  <c r="C588" i="1"/>
  <c r="D588" i="1"/>
  <c r="E588" i="1"/>
  <c r="G588" i="1"/>
  <c r="K589" i="1"/>
  <c r="B589" i="1"/>
  <c r="C589" i="1"/>
  <c r="D589" i="1"/>
  <c r="E589" i="1"/>
  <c r="G589" i="1"/>
  <c r="K590" i="1"/>
  <c r="B590" i="1"/>
  <c r="C590" i="1"/>
  <c r="D590" i="1"/>
  <c r="E590" i="1"/>
  <c r="G590" i="1"/>
  <c r="K591" i="1"/>
  <c r="B591" i="1"/>
  <c r="C591" i="1"/>
  <c r="D591" i="1"/>
  <c r="E591" i="1"/>
  <c r="G591" i="1"/>
  <c r="K592" i="1"/>
  <c r="B592" i="1"/>
  <c r="C592" i="1"/>
  <c r="D592" i="1"/>
  <c r="E592" i="1"/>
  <c r="G592" i="1"/>
  <c r="K593" i="1"/>
  <c r="B593" i="1"/>
  <c r="C593" i="1"/>
  <c r="D593" i="1"/>
  <c r="E593" i="1"/>
  <c r="G593" i="1"/>
  <c r="K594" i="1"/>
  <c r="B594" i="1"/>
  <c r="C594" i="1"/>
  <c r="D594" i="1"/>
  <c r="E594" i="1"/>
  <c r="G594" i="1"/>
  <c r="K595" i="1"/>
  <c r="B595" i="1"/>
  <c r="C595" i="1"/>
  <c r="D595" i="1"/>
  <c r="E595" i="1"/>
  <c r="G595" i="1"/>
  <c r="K596" i="1"/>
  <c r="B596" i="1"/>
  <c r="C596" i="1"/>
  <c r="D596" i="1"/>
  <c r="E596" i="1"/>
  <c r="G596" i="1"/>
  <c r="K597" i="1"/>
  <c r="B597" i="1"/>
  <c r="C597" i="1"/>
  <c r="D597" i="1"/>
  <c r="E597" i="1"/>
  <c r="G597" i="1"/>
  <c r="K598" i="1"/>
  <c r="B598" i="1"/>
  <c r="C598" i="1"/>
  <c r="D598" i="1"/>
  <c r="E598" i="1"/>
  <c r="G598" i="1"/>
  <c r="K599" i="1"/>
  <c r="B599" i="1"/>
  <c r="C599" i="1"/>
  <c r="D599" i="1"/>
  <c r="E599" i="1"/>
  <c r="G599" i="1"/>
  <c r="K600" i="1"/>
  <c r="B600" i="1"/>
  <c r="C600" i="1"/>
  <c r="D600" i="1"/>
  <c r="E600" i="1"/>
  <c r="G600" i="1"/>
  <c r="K601" i="1"/>
  <c r="B601" i="1"/>
  <c r="C601" i="1"/>
  <c r="D601" i="1"/>
  <c r="E601" i="1"/>
  <c r="G601" i="1"/>
  <c r="K602" i="1"/>
  <c r="B602" i="1"/>
  <c r="C602" i="1"/>
  <c r="D602" i="1"/>
  <c r="E602" i="1"/>
  <c r="G602" i="1"/>
  <c r="K603" i="1"/>
  <c r="B603" i="1"/>
  <c r="C603" i="1"/>
  <c r="D603" i="1"/>
  <c r="E603" i="1"/>
  <c r="G603" i="1"/>
  <c r="K604" i="1"/>
  <c r="B604" i="1"/>
  <c r="C604" i="1"/>
  <c r="D604" i="1"/>
  <c r="E604" i="1"/>
  <c r="G604" i="1"/>
  <c r="K605" i="1"/>
  <c r="B605" i="1"/>
  <c r="C605" i="1"/>
  <c r="D605" i="1"/>
  <c r="E605" i="1"/>
  <c r="G605" i="1"/>
  <c r="K606" i="1"/>
  <c r="B606" i="1"/>
  <c r="C606" i="1"/>
  <c r="D606" i="1"/>
  <c r="E606" i="1"/>
  <c r="G606" i="1"/>
  <c r="K607" i="1"/>
  <c r="B607" i="1"/>
  <c r="C607" i="1"/>
  <c r="D607" i="1"/>
  <c r="E607" i="1"/>
  <c r="G607" i="1"/>
  <c r="K608" i="1"/>
  <c r="B608" i="1"/>
  <c r="C608" i="1"/>
  <c r="D608" i="1"/>
  <c r="E608" i="1"/>
  <c r="G608" i="1"/>
  <c r="K609" i="1"/>
  <c r="B609" i="1"/>
  <c r="C609" i="1"/>
  <c r="D609" i="1"/>
  <c r="E609" i="1"/>
  <c r="G609" i="1"/>
  <c r="K610" i="1"/>
  <c r="B610" i="1"/>
  <c r="C610" i="1"/>
  <c r="D610" i="1"/>
  <c r="E610" i="1"/>
  <c r="G610" i="1"/>
  <c r="K611" i="1"/>
  <c r="B611" i="1"/>
  <c r="C611" i="1"/>
  <c r="D611" i="1"/>
  <c r="E611" i="1"/>
  <c r="G611" i="1"/>
  <c r="K612" i="1"/>
  <c r="B612" i="1"/>
  <c r="C612" i="1"/>
  <c r="D612" i="1"/>
  <c r="E612" i="1"/>
  <c r="G612" i="1"/>
  <c r="K613" i="1"/>
  <c r="B613" i="1"/>
  <c r="C613" i="1"/>
  <c r="D613" i="1"/>
  <c r="E613" i="1"/>
  <c r="G613" i="1"/>
  <c r="K614" i="1"/>
  <c r="B614" i="1"/>
  <c r="C614" i="1"/>
  <c r="D614" i="1"/>
  <c r="E614" i="1"/>
  <c r="G614" i="1"/>
  <c r="K615" i="1"/>
  <c r="B615" i="1"/>
  <c r="C615" i="1"/>
  <c r="D615" i="1"/>
  <c r="E615" i="1"/>
  <c r="G615" i="1"/>
  <c r="K616" i="1"/>
  <c r="B616" i="1"/>
  <c r="C616" i="1"/>
  <c r="D616" i="1"/>
  <c r="E616" i="1"/>
  <c r="G616" i="1"/>
  <c r="K617" i="1"/>
  <c r="B617" i="1"/>
  <c r="C617" i="1"/>
  <c r="D617" i="1"/>
  <c r="E617" i="1"/>
  <c r="G617" i="1"/>
  <c r="K618" i="1"/>
  <c r="B618" i="1"/>
  <c r="C618" i="1"/>
  <c r="D618" i="1"/>
  <c r="E618" i="1"/>
  <c r="G618" i="1"/>
  <c r="K619" i="1"/>
  <c r="B619" i="1"/>
  <c r="C619" i="1"/>
  <c r="D619" i="1"/>
  <c r="E619" i="1"/>
  <c r="G619" i="1"/>
  <c r="K620" i="1"/>
  <c r="B620" i="1"/>
  <c r="C620" i="1"/>
  <c r="D620" i="1"/>
  <c r="E620" i="1"/>
  <c r="G620" i="1"/>
  <c r="K621" i="1"/>
  <c r="B621" i="1"/>
  <c r="C621" i="1"/>
  <c r="D621" i="1"/>
  <c r="E621" i="1"/>
  <c r="G621" i="1"/>
  <c r="K622" i="1"/>
  <c r="B622" i="1"/>
  <c r="C622" i="1"/>
  <c r="D622" i="1"/>
  <c r="E622" i="1"/>
  <c r="G622" i="1"/>
  <c r="K623" i="1"/>
  <c r="B623" i="1"/>
  <c r="C623" i="1"/>
  <c r="D623" i="1"/>
  <c r="E623" i="1"/>
  <c r="G623" i="1"/>
  <c r="K624" i="1"/>
  <c r="B624" i="1"/>
  <c r="C624" i="1"/>
  <c r="D624" i="1"/>
  <c r="E624" i="1"/>
  <c r="G624" i="1"/>
  <c r="K625" i="1"/>
  <c r="B625" i="1"/>
  <c r="C625" i="1"/>
  <c r="D625" i="1"/>
  <c r="E625" i="1"/>
  <c r="G625" i="1"/>
  <c r="K626" i="1"/>
  <c r="B626" i="1"/>
  <c r="C626" i="1"/>
  <c r="D626" i="1"/>
  <c r="E626" i="1"/>
  <c r="G626" i="1"/>
  <c r="K627" i="1"/>
  <c r="B627" i="1"/>
  <c r="C627" i="1"/>
  <c r="D627" i="1"/>
  <c r="E627" i="1"/>
  <c r="G627" i="1"/>
  <c r="K628" i="1"/>
  <c r="B628" i="1"/>
  <c r="C628" i="1"/>
  <c r="D628" i="1"/>
  <c r="E628" i="1"/>
  <c r="G628" i="1"/>
  <c r="K629" i="1"/>
  <c r="B629" i="1"/>
  <c r="C629" i="1"/>
  <c r="D629" i="1"/>
  <c r="E629" i="1"/>
  <c r="G629" i="1"/>
  <c r="K630" i="1"/>
  <c r="B630" i="1"/>
  <c r="C630" i="1"/>
  <c r="D630" i="1"/>
  <c r="E630" i="1"/>
  <c r="G630" i="1"/>
  <c r="K631" i="1"/>
  <c r="B631" i="1"/>
  <c r="C631" i="1"/>
  <c r="D631" i="1"/>
  <c r="E631" i="1"/>
  <c r="G631" i="1"/>
  <c r="K632" i="1"/>
  <c r="B632" i="1"/>
  <c r="C632" i="1"/>
  <c r="D632" i="1"/>
  <c r="E632" i="1"/>
  <c r="G632" i="1"/>
  <c r="K633" i="1"/>
  <c r="B633" i="1"/>
  <c r="C633" i="1"/>
  <c r="D633" i="1"/>
  <c r="E633" i="1"/>
  <c r="G633" i="1"/>
  <c r="K634" i="1"/>
  <c r="B634" i="1"/>
  <c r="C634" i="1"/>
  <c r="D634" i="1"/>
  <c r="E634" i="1"/>
  <c r="G634" i="1"/>
  <c r="K635" i="1"/>
  <c r="B635" i="1"/>
  <c r="C635" i="1"/>
  <c r="D635" i="1"/>
  <c r="E635" i="1"/>
  <c r="G635" i="1"/>
  <c r="K636" i="1"/>
  <c r="B636" i="1"/>
  <c r="C636" i="1"/>
  <c r="D636" i="1"/>
  <c r="E636" i="1"/>
  <c r="G636" i="1"/>
  <c r="K637" i="1"/>
  <c r="B637" i="1"/>
  <c r="C637" i="1"/>
  <c r="D637" i="1"/>
  <c r="E637" i="1"/>
  <c r="G637" i="1"/>
  <c r="K638" i="1"/>
  <c r="B638" i="1"/>
  <c r="C638" i="1"/>
  <c r="D638" i="1"/>
  <c r="E638" i="1"/>
  <c r="G638" i="1"/>
  <c r="K639" i="1"/>
  <c r="B639" i="1"/>
  <c r="C639" i="1"/>
  <c r="D639" i="1"/>
  <c r="E639" i="1"/>
  <c r="G639" i="1"/>
  <c r="K640" i="1"/>
  <c r="B640" i="1"/>
  <c r="C640" i="1"/>
  <c r="D640" i="1"/>
  <c r="E640" i="1"/>
  <c r="G640" i="1"/>
  <c r="K641" i="1"/>
  <c r="B641" i="1"/>
  <c r="C641" i="1"/>
  <c r="D641" i="1"/>
  <c r="E641" i="1"/>
  <c r="G641" i="1"/>
  <c r="K642" i="1"/>
  <c r="B642" i="1"/>
  <c r="C642" i="1"/>
  <c r="D642" i="1"/>
  <c r="E642" i="1"/>
  <c r="G642" i="1"/>
  <c r="K643" i="1"/>
  <c r="B643" i="1"/>
  <c r="C643" i="1"/>
  <c r="D643" i="1"/>
  <c r="E643" i="1"/>
  <c r="G643" i="1"/>
  <c r="K644" i="1"/>
  <c r="B644" i="1"/>
  <c r="C644" i="1"/>
  <c r="D644" i="1"/>
  <c r="E644" i="1"/>
  <c r="G644" i="1"/>
  <c r="K645" i="1"/>
  <c r="B645" i="1"/>
  <c r="C645" i="1"/>
  <c r="D645" i="1"/>
  <c r="E645" i="1"/>
  <c r="G645" i="1"/>
  <c r="K646" i="1"/>
  <c r="B646" i="1"/>
  <c r="C646" i="1"/>
  <c r="D646" i="1"/>
  <c r="E646" i="1"/>
  <c r="G646" i="1"/>
  <c r="K647" i="1"/>
  <c r="B647" i="1"/>
  <c r="C647" i="1"/>
  <c r="D647" i="1"/>
  <c r="E647" i="1"/>
  <c r="G647" i="1"/>
  <c r="K648" i="1"/>
  <c r="B648" i="1"/>
  <c r="C648" i="1"/>
  <c r="D648" i="1"/>
  <c r="E648" i="1"/>
  <c r="G648" i="1"/>
  <c r="K649" i="1"/>
  <c r="B649" i="1"/>
  <c r="C649" i="1"/>
  <c r="D649" i="1"/>
  <c r="E649" i="1"/>
  <c r="G649" i="1"/>
  <c r="K650" i="1"/>
  <c r="B650" i="1"/>
  <c r="C650" i="1"/>
  <c r="D650" i="1"/>
  <c r="E650" i="1"/>
  <c r="G650" i="1"/>
  <c r="K651" i="1"/>
  <c r="B651" i="1"/>
  <c r="C651" i="1"/>
  <c r="D651" i="1"/>
  <c r="E651" i="1"/>
  <c r="G651" i="1"/>
  <c r="K652" i="1"/>
  <c r="B652" i="1"/>
  <c r="C652" i="1"/>
  <c r="D652" i="1"/>
  <c r="E652" i="1"/>
  <c r="G652" i="1"/>
  <c r="K653" i="1"/>
  <c r="B653" i="1"/>
  <c r="C653" i="1"/>
  <c r="D653" i="1"/>
  <c r="E653" i="1"/>
  <c r="G653" i="1"/>
  <c r="K654" i="1"/>
  <c r="B654" i="1"/>
  <c r="C654" i="1"/>
  <c r="D654" i="1"/>
  <c r="E654" i="1"/>
  <c r="G654" i="1"/>
  <c r="K655" i="1"/>
  <c r="B655" i="1"/>
  <c r="C655" i="1"/>
  <c r="D655" i="1"/>
  <c r="E655" i="1"/>
  <c r="G655" i="1"/>
  <c r="K656" i="1"/>
  <c r="B656" i="1"/>
  <c r="C656" i="1"/>
  <c r="D656" i="1"/>
  <c r="E656" i="1"/>
  <c r="G656" i="1"/>
  <c r="K657" i="1"/>
  <c r="B657" i="1"/>
  <c r="C657" i="1"/>
  <c r="D657" i="1"/>
  <c r="E657" i="1"/>
  <c r="G657" i="1"/>
  <c r="K658" i="1"/>
  <c r="B658" i="1"/>
  <c r="C658" i="1"/>
  <c r="D658" i="1"/>
  <c r="E658" i="1"/>
  <c r="G658" i="1"/>
  <c r="K659" i="1"/>
  <c r="B659" i="1"/>
  <c r="C659" i="1"/>
  <c r="D659" i="1"/>
  <c r="E659" i="1"/>
  <c r="G659" i="1"/>
  <c r="K660" i="1"/>
  <c r="B660" i="1"/>
  <c r="C660" i="1"/>
  <c r="D660" i="1"/>
  <c r="E660" i="1"/>
  <c r="G660" i="1"/>
  <c r="K661" i="1"/>
  <c r="B661" i="1"/>
  <c r="C661" i="1"/>
  <c r="D661" i="1"/>
  <c r="E661" i="1"/>
  <c r="G661" i="1"/>
  <c r="K662" i="1"/>
  <c r="B662" i="1"/>
  <c r="C662" i="1"/>
  <c r="D662" i="1"/>
  <c r="E662" i="1"/>
  <c r="G662" i="1"/>
  <c r="K663" i="1"/>
  <c r="B663" i="1"/>
  <c r="C663" i="1"/>
  <c r="D663" i="1"/>
  <c r="E663" i="1"/>
  <c r="G663" i="1"/>
  <c r="K664" i="1"/>
  <c r="B664" i="1"/>
  <c r="C664" i="1"/>
  <c r="D664" i="1"/>
  <c r="E664" i="1"/>
  <c r="G664" i="1"/>
  <c r="K665" i="1"/>
  <c r="B665" i="1"/>
  <c r="C665" i="1"/>
  <c r="D665" i="1"/>
  <c r="E665" i="1"/>
  <c r="G665" i="1"/>
  <c r="K666" i="1"/>
  <c r="B666" i="1"/>
  <c r="C666" i="1"/>
  <c r="D666" i="1"/>
  <c r="E666" i="1"/>
  <c r="G666" i="1"/>
  <c r="K667" i="1"/>
  <c r="B667" i="1"/>
  <c r="C667" i="1"/>
  <c r="D667" i="1"/>
  <c r="E667" i="1"/>
  <c r="G667" i="1"/>
  <c r="K668" i="1"/>
  <c r="B668" i="1"/>
  <c r="C668" i="1"/>
  <c r="D668" i="1"/>
  <c r="E668" i="1"/>
  <c r="G668" i="1"/>
  <c r="K669" i="1"/>
  <c r="B669" i="1"/>
  <c r="C669" i="1"/>
  <c r="D669" i="1"/>
  <c r="E669" i="1"/>
  <c r="G669" i="1"/>
  <c r="K670" i="1"/>
  <c r="B670" i="1"/>
  <c r="C670" i="1"/>
  <c r="D670" i="1"/>
  <c r="E670" i="1"/>
  <c r="G670" i="1"/>
  <c r="K671" i="1"/>
  <c r="B671" i="1"/>
  <c r="C671" i="1"/>
  <c r="D671" i="1"/>
  <c r="E671" i="1"/>
  <c r="G671" i="1"/>
  <c r="K672" i="1"/>
  <c r="B672" i="1"/>
  <c r="C672" i="1"/>
  <c r="D672" i="1"/>
  <c r="E672" i="1"/>
  <c r="G672" i="1"/>
  <c r="K673" i="1"/>
  <c r="B673" i="1"/>
  <c r="C673" i="1"/>
  <c r="D673" i="1"/>
  <c r="E673" i="1"/>
  <c r="G673" i="1"/>
  <c r="K674" i="1"/>
  <c r="B674" i="1"/>
  <c r="C674" i="1"/>
  <c r="D674" i="1"/>
  <c r="E674" i="1"/>
  <c r="G674" i="1"/>
  <c r="K675" i="1"/>
  <c r="B675" i="1"/>
  <c r="C675" i="1"/>
  <c r="D675" i="1"/>
  <c r="E675" i="1"/>
  <c r="G675" i="1"/>
  <c r="K676" i="1"/>
  <c r="B676" i="1"/>
  <c r="C676" i="1"/>
  <c r="D676" i="1"/>
  <c r="E676" i="1"/>
  <c r="G676" i="1"/>
  <c r="K677" i="1"/>
  <c r="B677" i="1"/>
  <c r="C677" i="1"/>
  <c r="D677" i="1"/>
  <c r="E677" i="1"/>
  <c r="G677" i="1"/>
  <c r="K678" i="1"/>
  <c r="B678" i="1"/>
  <c r="C678" i="1"/>
  <c r="D678" i="1"/>
  <c r="E678" i="1"/>
  <c r="G678" i="1"/>
  <c r="K679" i="1"/>
  <c r="B679" i="1"/>
  <c r="C679" i="1"/>
  <c r="D679" i="1"/>
  <c r="E679" i="1"/>
  <c r="G679" i="1"/>
  <c r="K680" i="1"/>
  <c r="B680" i="1"/>
  <c r="C680" i="1"/>
  <c r="D680" i="1"/>
  <c r="E680" i="1"/>
  <c r="G680" i="1"/>
  <c r="K681" i="1"/>
  <c r="B681" i="1"/>
  <c r="C681" i="1"/>
  <c r="D681" i="1"/>
  <c r="E681" i="1"/>
  <c r="G681" i="1"/>
  <c r="K682" i="1"/>
  <c r="B682" i="1"/>
  <c r="C682" i="1"/>
  <c r="D682" i="1"/>
  <c r="E682" i="1"/>
  <c r="G682" i="1"/>
  <c r="K683" i="1"/>
  <c r="B683" i="1"/>
  <c r="C683" i="1"/>
  <c r="D683" i="1"/>
  <c r="E683" i="1"/>
  <c r="G683" i="1"/>
  <c r="K684" i="1"/>
  <c r="B684" i="1"/>
  <c r="C684" i="1"/>
  <c r="D684" i="1"/>
  <c r="E684" i="1"/>
  <c r="G684" i="1"/>
  <c r="K685" i="1"/>
  <c r="B685" i="1"/>
  <c r="C685" i="1"/>
  <c r="D685" i="1"/>
  <c r="E685" i="1"/>
  <c r="G685" i="1"/>
  <c r="K686" i="1"/>
  <c r="B686" i="1"/>
  <c r="C686" i="1"/>
  <c r="D686" i="1"/>
  <c r="E686" i="1"/>
  <c r="G686" i="1"/>
  <c r="K687" i="1"/>
  <c r="B687" i="1"/>
  <c r="C687" i="1"/>
  <c r="D687" i="1"/>
  <c r="E687" i="1"/>
  <c r="G687" i="1"/>
  <c r="K688" i="1"/>
  <c r="B688" i="1"/>
  <c r="C688" i="1"/>
  <c r="D688" i="1"/>
  <c r="E688" i="1"/>
  <c r="G688" i="1"/>
  <c r="K689" i="1"/>
  <c r="B689" i="1"/>
  <c r="C689" i="1"/>
  <c r="D689" i="1"/>
  <c r="E689" i="1"/>
  <c r="G689" i="1"/>
  <c r="K690" i="1"/>
  <c r="B690" i="1"/>
  <c r="C690" i="1"/>
  <c r="D690" i="1"/>
  <c r="E690" i="1"/>
  <c r="G690" i="1"/>
  <c r="K691" i="1"/>
  <c r="B691" i="1"/>
  <c r="C691" i="1"/>
  <c r="D691" i="1"/>
  <c r="E691" i="1"/>
  <c r="G691" i="1"/>
  <c r="K692" i="1"/>
  <c r="B692" i="1"/>
  <c r="C692" i="1"/>
  <c r="D692" i="1"/>
  <c r="E692" i="1"/>
  <c r="G692" i="1"/>
  <c r="K693" i="1"/>
  <c r="B693" i="1"/>
  <c r="C693" i="1"/>
  <c r="D693" i="1"/>
  <c r="E693" i="1"/>
  <c r="G693" i="1"/>
  <c r="K694" i="1"/>
  <c r="B694" i="1"/>
  <c r="C694" i="1"/>
  <c r="D694" i="1"/>
  <c r="E694" i="1"/>
  <c r="G694" i="1"/>
  <c r="K695" i="1"/>
  <c r="B695" i="1"/>
  <c r="C695" i="1"/>
  <c r="D695" i="1"/>
  <c r="E695" i="1"/>
  <c r="G695" i="1"/>
  <c r="K696" i="1"/>
  <c r="B696" i="1"/>
  <c r="C696" i="1"/>
  <c r="D696" i="1"/>
  <c r="E696" i="1"/>
  <c r="G696" i="1"/>
  <c r="K697" i="1"/>
  <c r="B697" i="1"/>
  <c r="C697" i="1"/>
  <c r="D697" i="1"/>
  <c r="E697" i="1"/>
  <c r="G697" i="1"/>
  <c r="K698" i="1"/>
  <c r="B698" i="1"/>
  <c r="C698" i="1"/>
  <c r="D698" i="1"/>
  <c r="E698" i="1"/>
  <c r="G698" i="1"/>
  <c r="K699" i="1"/>
  <c r="B699" i="1"/>
  <c r="C699" i="1"/>
  <c r="D699" i="1"/>
  <c r="E699" i="1"/>
  <c r="G699" i="1"/>
  <c r="K700" i="1"/>
  <c r="B700" i="1"/>
  <c r="C700" i="1"/>
  <c r="D700" i="1"/>
  <c r="E700" i="1"/>
  <c r="G700" i="1"/>
  <c r="K701" i="1"/>
  <c r="B701" i="1"/>
  <c r="C701" i="1"/>
  <c r="D701" i="1"/>
  <c r="E701" i="1"/>
  <c r="G701" i="1"/>
  <c r="K702" i="1"/>
  <c r="B702" i="1"/>
  <c r="C702" i="1"/>
  <c r="D702" i="1"/>
  <c r="E702" i="1"/>
  <c r="G702" i="1"/>
  <c r="K703" i="1"/>
  <c r="B703" i="1"/>
  <c r="C703" i="1"/>
  <c r="D703" i="1"/>
  <c r="E703" i="1"/>
  <c r="G703" i="1"/>
  <c r="K704" i="1"/>
  <c r="B704" i="1"/>
  <c r="C704" i="1"/>
  <c r="D704" i="1"/>
  <c r="E704" i="1"/>
  <c r="G704" i="1"/>
  <c r="K705" i="1"/>
  <c r="B705" i="1"/>
  <c r="C705" i="1"/>
  <c r="D705" i="1"/>
  <c r="E705" i="1"/>
  <c r="G705" i="1"/>
  <c r="K706" i="1"/>
  <c r="B706" i="1"/>
  <c r="C706" i="1"/>
  <c r="D706" i="1"/>
  <c r="E706" i="1"/>
  <c r="G706" i="1"/>
  <c r="K707" i="1"/>
  <c r="B707" i="1"/>
  <c r="C707" i="1"/>
  <c r="D707" i="1"/>
  <c r="E707" i="1"/>
  <c r="G707" i="1"/>
  <c r="K708" i="1"/>
  <c r="B708" i="1"/>
  <c r="C708" i="1"/>
  <c r="D708" i="1"/>
  <c r="E708" i="1"/>
  <c r="G708" i="1"/>
  <c r="K709" i="1"/>
  <c r="B709" i="1"/>
  <c r="C709" i="1"/>
  <c r="D709" i="1"/>
  <c r="E709" i="1"/>
  <c r="G709" i="1"/>
  <c r="K710" i="1"/>
  <c r="B710" i="1"/>
  <c r="C710" i="1"/>
  <c r="D710" i="1"/>
  <c r="E710" i="1"/>
  <c r="G710" i="1"/>
  <c r="K711" i="1"/>
  <c r="B711" i="1"/>
  <c r="C711" i="1"/>
  <c r="D711" i="1"/>
  <c r="E711" i="1"/>
  <c r="G711" i="1"/>
  <c r="K712" i="1"/>
  <c r="B712" i="1"/>
  <c r="C712" i="1"/>
  <c r="D712" i="1"/>
  <c r="E712" i="1"/>
  <c r="G712" i="1"/>
  <c r="K713" i="1"/>
  <c r="B713" i="1"/>
  <c r="C713" i="1"/>
  <c r="D713" i="1"/>
  <c r="E713" i="1"/>
  <c r="G713" i="1"/>
  <c r="K714" i="1"/>
  <c r="B714" i="1"/>
  <c r="C714" i="1"/>
  <c r="D714" i="1"/>
  <c r="E714" i="1"/>
  <c r="G714" i="1"/>
  <c r="K715" i="1"/>
  <c r="B715" i="1"/>
  <c r="C715" i="1"/>
  <c r="D715" i="1"/>
  <c r="E715" i="1"/>
  <c r="G715" i="1"/>
  <c r="K716" i="1"/>
  <c r="B716" i="1"/>
  <c r="C716" i="1"/>
  <c r="D716" i="1"/>
  <c r="E716" i="1"/>
  <c r="G716" i="1"/>
  <c r="K717" i="1"/>
  <c r="B717" i="1"/>
  <c r="C717" i="1"/>
  <c r="D717" i="1"/>
  <c r="E717" i="1"/>
  <c r="G717" i="1"/>
  <c r="K718" i="1"/>
  <c r="B718" i="1"/>
  <c r="C718" i="1"/>
  <c r="D718" i="1"/>
  <c r="E718" i="1"/>
  <c r="G718" i="1"/>
  <c r="K719" i="1"/>
  <c r="B719" i="1"/>
  <c r="C719" i="1"/>
  <c r="D719" i="1"/>
  <c r="E719" i="1"/>
  <c r="G719" i="1"/>
  <c r="K720" i="1"/>
  <c r="B720" i="1"/>
  <c r="C720" i="1"/>
  <c r="D720" i="1"/>
  <c r="E720" i="1"/>
  <c r="G720" i="1"/>
  <c r="K721" i="1"/>
  <c r="B721" i="1"/>
  <c r="C721" i="1"/>
  <c r="D721" i="1"/>
  <c r="E721" i="1"/>
  <c r="G721" i="1"/>
  <c r="K722" i="1"/>
  <c r="B722" i="1"/>
  <c r="C722" i="1"/>
  <c r="D722" i="1"/>
  <c r="E722" i="1"/>
  <c r="G722" i="1"/>
  <c r="K723" i="1"/>
  <c r="B723" i="1"/>
  <c r="C723" i="1"/>
  <c r="D723" i="1"/>
  <c r="E723" i="1"/>
  <c r="G723" i="1"/>
  <c r="K724" i="1"/>
  <c r="B724" i="1"/>
  <c r="C724" i="1"/>
  <c r="D724" i="1"/>
  <c r="E724" i="1"/>
  <c r="G724" i="1"/>
  <c r="K725" i="1"/>
  <c r="B725" i="1"/>
  <c r="C725" i="1"/>
  <c r="D725" i="1"/>
  <c r="E725" i="1"/>
  <c r="G725" i="1"/>
  <c r="K726" i="1"/>
  <c r="B726" i="1"/>
  <c r="C726" i="1"/>
  <c r="D726" i="1"/>
  <c r="E726" i="1"/>
  <c r="G726" i="1"/>
  <c r="K727" i="1"/>
  <c r="B727" i="1"/>
  <c r="C727" i="1"/>
  <c r="D727" i="1"/>
  <c r="E727" i="1"/>
  <c r="G727" i="1"/>
  <c r="K728" i="1"/>
  <c r="B728" i="1"/>
  <c r="C728" i="1"/>
  <c r="D728" i="1"/>
  <c r="E728" i="1"/>
  <c r="G728" i="1"/>
  <c r="K729" i="1"/>
  <c r="B729" i="1"/>
  <c r="C729" i="1"/>
  <c r="D729" i="1"/>
  <c r="E729" i="1"/>
  <c r="G729" i="1"/>
  <c r="K730" i="1"/>
  <c r="B730" i="1"/>
  <c r="C730" i="1"/>
  <c r="D730" i="1"/>
  <c r="E730" i="1"/>
  <c r="G730" i="1"/>
  <c r="K731" i="1"/>
  <c r="B731" i="1"/>
  <c r="C731" i="1"/>
  <c r="D731" i="1"/>
  <c r="E731" i="1"/>
  <c r="G731" i="1"/>
  <c r="K732" i="1"/>
  <c r="B732" i="1"/>
  <c r="C732" i="1"/>
  <c r="D732" i="1"/>
  <c r="E732" i="1"/>
  <c r="G732" i="1"/>
  <c r="K733" i="1"/>
  <c r="B733" i="1"/>
  <c r="C733" i="1"/>
  <c r="D733" i="1"/>
  <c r="E733" i="1"/>
  <c r="G733" i="1"/>
  <c r="K734" i="1"/>
  <c r="B734" i="1"/>
  <c r="C734" i="1"/>
  <c r="D734" i="1"/>
  <c r="E734" i="1"/>
  <c r="G734" i="1"/>
  <c r="K735" i="1"/>
  <c r="B735" i="1"/>
  <c r="C735" i="1"/>
  <c r="D735" i="1"/>
  <c r="E735" i="1"/>
  <c r="G735" i="1"/>
  <c r="K736" i="1"/>
  <c r="B736" i="1"/>
  <c r="C736" i="1"/>
  <c r="D736" i="1"/>
  <c r="E736" i="1"/>
  <c r="G736" i="1"/>
  <c r="K737" i="1"/>
  <c r="B737" i="1"/>
  <c r="C737" i="1"/>
  <c r="D737" i="1"/>
  <c r="E737" i="1"/>
  <c r="G737" i="1"/>
  <c r="K738" i="1"/>
  <c r="B738" i="1"/>
  <c r="C738" i="1"/>
  <c r="D738" i="1"/>
  <c r="E738" i="1"/>
  <c r="G738" i="1"/>
  <c r="K739" i="1"/>
  <c r="B739" i="1"/>
  <c r="C739" i="1"/>
  <c r="D739" i="1"/>
  <c r="E739" i="1"/>
  <c r="G739" i="1"/>
  <c r="K740" i="1"/>
  <c r="B740" i="1"/>
  <c r="C740" i="1"/>
  <c r="D740" i="1"/>
  <c r="E740" i="1"/>
  <c r="G740" i="1"/>
  <c r="K741" i="1"/>
  <c r="B741" i="1"/>
  <c r="C741" i="1"/>
  <c r="D741" i="1"/>
  <c r="E741" i="1"/>
  <c r="G741" i="1"/>
  <c r="K742" i="1"/>
  <c r="B742" i="1"/>
  <c r="C742" i="1"/>
  <c r="D742" i="1"/>
  <c r="E742" i="1"/>
  <c r="G742" i="1"/>
  <c r="K743" i="1"/>
  <c r="B743" i="1"/>
  <c r="C743" i="1"/>
  <c r="D743" i="1"/>
  <c r="E743" i="1"/>
  <c r="G743" i="1"/>
  <c r="K744" i="1"/>
  <c r="B744" i="1"/>
  <c r="C744" i="1"/>
  <c r="D744" i="1"/>
  <c r="E744" i="1"/>
  <c r="G744" i="1"/>
  <c r="K745" i="1"/>
  <c r="B745" i="1"/>
  <c r="C745" i="1"/>
  <c r="D745" i="1"/>
  <c r="E745" i="1"/>
  <c r="G745" i="1"/>
  <c r="K746" i="1"/>
  <c r="B746" i="1"/>
  <c r="C746" i="1"/>
  <c r="D746" i="1"/>
  <c r="E746" i="1"/>
  <c r="G746" i="1"/>
  <c r="K747" i="1"/>
  <c r="B747" i="1"/>
  <c r="C747" i="1"/>
  <c r="D747" i="1"/>
  <c r="E747" i="1"/>
  <c r="G747" i="1"/>
  <c r="K748" i="1"/>
  <c r="B748" i="1"/>
  <c r="C748" i="1"/>
  <c r="D748" i="1"/>
  <c r="E748" i="1"/>
  <c r="G748" i="1"/>
  <c r="K749" i="1"/>
  <c r="B749" i="1"/>
  <c r="C749" i="1"/>
  <c r="D749" i="1"/>
  <c r="E749" i="1"/>
  <c r="G749" i="1"/>
  <c r="K750" i="1"/>
  <c r="B750" i="1"/>
  <c r="C750" i="1"/>
  <c r="D750" i="1"/>
  <c r="E750" i="1"/>
  <c r="G750" i="1"/>
  <c r="K751" i="1"/>
  <c r="B751" i="1"/>
  <c r="C751" i="1"/>
  <c r="D751" i="1"/>
  <c r="E751" i="1"/>
  <c r="G751" i="1"/>
  <c r="K752" i="1"/>
  <c r="B752" i="1"/>
  <c r="C752" i="1"/>
  <c r="D752" i="1"/>
  <c r="E752" i="1"/>
  <c r="G752" i="1"/>
  <c r="K753" i="1"/>
  <c r="B753" i="1"/>
  <c r="C753" i="1"/>
  <c r="D753" i="1"/>
  <c r="E753" i="1"/>
  <c r="G753" i="1"/>
  <c r="K754" i="1"/>
  <c r="B754" i="1"/>
  <c r="C754" i="1"/>
  <c r="D754" i="1"/>
  <c r="E754" i="1"/>
  <c r="G754" i="1"/>
  <c r="K755" i="1"/>
  <c r="B755" i="1"/>
  <c r="C755" i="1"/>
  <c r="D755" i="1"/>
  <c r="E755" i="1"/>
  <c r="G755" i="1"/>
  <c r="K756" i="1"/>
  <c r="B756" i="1"/>
  <c r="C756" i="1"/>
  <c r="D756" i="1"/>
  <c r="E756" i="1"/>
  <c r="G756" i="1"/>
  <c r="K757" i="1"/>
  <c r="B757" i="1"/>
  <c r="C757" i="1"/>
  <c r="D757" i="1"/>
  <c r="E757" i="1"/>
  <c r="G757" i="1"/>
  <c r="K758" i="1"/>
  <c r="B758" i="1"/>
  <c r="C758" i="1"/>
  <c r="D758" i="1"/>
  <c r="E758" i="1"/>
  <c r="G758" i="1"/>
  <c r="K759" i="1"/>
  <c r="B759" i="1"/>
  <c r="C759" i="1"/>
  <c r="D759" i="1"/>
  <c r="E759" i="1"/>
  <c r="G759" i="1"/>
  <c r="K760" i="1"/>
  <c r="B760" i="1"/>
  <c r="C760" i="1"/>
  <c r="D760" i="1"/>
  <c r="E760" i="1"/>
  <c r="G760" i="1"/>
  <c r="K761" i="1"/>
  <c r="B761" i="1"/>
  <c r="C761" i="1"/>
  <c r="D761" i="1"/>
  <c r="E761" i="1"/>
  <c r="G761" i="1"/>
  <c r="K762" i="1"/>
  <c r="B762" i="1"/>
  <c r="C762" i="1"/>
  <c r="D762" i="1"/>
  <c r="E762" i="1"/>
  <c r="G762" i="1"/>
  <c r="K763" i="1"/>
  <c r="B763" i="1"/>
  <c r="C763" i="1"/>
  <c r="D763" i="1"/>
  <c r="E763" i="1"/>
  <c r="G763" i="1"/>
  <c r="K764" i="1"/>
  <c r="B764" i="1"/>
  <c r="C764" i="1"/>
  <c r="D764" i="1"/>
  <c r="E764" i="1"/>
  <c r="G764" i="1"/>
  <c r="K765" i="1"/>
  <c r="B765" i="1"/>
  <c r="C765" i="1"/>
  <c r="D765" i="1"/>
  <c r="E765" i="1"/>
  <c r="G765" i="1"/>
  <c r="K766" i="1"/>
  <c r="B766" i="1"/>
  <c r="C766" i="1"/>
  <c r="D766" i="1"/>
  <c r="E766" i="1"/>
  <c r="G766" i="1"/>
  <c r="K767" i="1"/>
  <c r="B767" i="1"/>
  <c r="C767" i="1"/>
  <c r="D767" i="1"/>
  <c r="E767" i="1"/>
  <c r="G767" i="1"/>
  <c r="K768" i="1"/>
  <c r="B768" i="1"/>
  <c r="C768" i="1"/>
  <c r="D768" i="1"/>
  <c r="E768" i="1"/>
  <c r="G768" i="1"/>
  <c r="K769" i="1"/>
  <c r="B769" i="1"/>
  <c r="C769" i="1"/>
  <c r="D769" i="1"/>
  <c r="E769" i="1"/>
  <c r="G769" i="1"/>
  <c r="K770" i="1"/>
  <c r="B770" i="1"/>
  <c r="C770" i="1"/>
  <c r="D770" i="1"/>
  <c r="E770" i="1"/>
  <c r="G770" i="1"/>
  <c r="K771" i="1"/>
  <c r="B771" i="1"/>
  <c r="C771" i="1"/>
  <c r="D771" i="1"/>
  <c r="E771" i="1"/>
  <c r="G771" i="1"/>
  <c r="K772" i="1"/>
  <c r="B772" i="1"/>
  <c r="C772" i="1"/>
  <c r="D772" i="1"/>
  <c r="E772" i="1"/>
  <c r="G772" i="1"/>
  <c r="K773" i="1"/>
  <c r="B773" i="1"/>
  <c r="C773" i="1"/>
  <c r="D773" i="1"/>
  <c r="E773" i="1"/>
  <c r="G773" i="1"/>
  <c r="K774" i="1"/>
  <c r="B774" i="1"/>
  <c r="C774" i="1"/>
  <c r="D774" i="1"/>
  <c r="E774" i="1"/>
  <c r="G774" i="1"/>
  <c r="K775" i="1"/>
  <c r="B775" i="1"/>
  <c r="C775" i="1"/>
  <c r="D775" i="1"/>
  <c r="E775" i="1"/>
  <c r="G775" i="1"/>
  <c r="K776" i="1"/>
  <c r="B776" i="1"/>
  <c r="C776" i="1"/>
  <c r="D776" i="1"/>
  <c r="E776" i="1"/>
  <c r="G776" i="1"/>
  <c r="K777" i="1"/>
  <c r="B777" i="1"/>
  <c r="C777" i="1"/>
  <c r="D777" i="1"/>
  <c r="E777" i="1"/>
  <c r="G777" i="1"/>
  <c r="K778" i="1"/>
  <c r="B778" i="1"/>
  <c r="C778" i="1"/>
  <c r="D778" i="1"/>
  <c r="E778" i="1"/>
  <c r="G778" i="1"/>
  <c r="K779" i="1"/>
  <c r="B779" i="1"/>
  <c r="C779" i="1"/>
  <c r="D779" i="1"/>
  <c r="E779" i="1"/>
  <c r="G779" i="1"/>
  <c r="K780" i="1"/>
  <c r="B780" i="1"/>
  <c r="C780" i="1"/>
  <c r="D780" i="1"/>
  <c r="E780" i="1"/>
  <c r="G780" i="1"/>
  <c r="K781" i="1"/>
  <c r="B781" i="1"/>
  <c r="C781" i="1"/>
  <c r="D781" i="1"/>
  <c r="E781" i="1"/>
  <c r="G781" i="1"/>
  <c r="K782" i="1"/>
  <c r="B782" i="1"/>
  <c r="C782" i="1"/>
  <c r="D782" i="1"/>
  <c r="E782" i="1"/>
  <c r="G782" i="1"/>
  <c r="K783" i="1"/>
  <c r="B783" i="1"/>
  <c r="C783" i="1"/>
  <c r="D783" i="1"/>
  <c r="E783" i="1"/>
  <c r="G783" i="1"/>
  <c r="K784" i="1"/>
  <c r="B784" i="1"/>
  <c r="C784" i="1"/>
  <c r="D784" i="1"/>
  <c r="E784" i="1"/>
  <c r="G784" i="1"/>
  <c r="K785" i="1"/>
  <c r="B785" i="1"/>
  <c r="C785" i="1"/>
  <c r="D785" i="1"/>
  <c r="E785" i="1"/>
  <c r="G785" i="1"/>
  <c r="K786" i="1"/>
  <c r="B786" i="1"/>
  <c r="C786" i="1"/>
  <c r="D786" i="1"/>
  <c r="E786" i="1"/>
  <c r="G786" i="1"/>
  <c r="K787" i="1"/>
  <c r="B787" i="1"/>
  <c r="C787" i="1"/>
  <c r="D787" i="1"/>
  <c r="E787" i="1"/>
  <c r="G787" i="1"/>
  <c r="K788" i="1"/>
  <c r="B788" i="1"/>
  <c r="C788" i="1"/>
  <c r="D788" i="1"/>
  <c r="E788" i="1"/>
  <c r="G788" i="1"/>
  <c r="K789" i="1"/>
  <c r="B789" i="1"/>
  <c r="C789" i="1"/>
  <c r="D789" i="1"/>
  <c r="E789" i="1"/>
  <c r="G789" i="1"/>
  <c r="K790" i="1"/>
  <c r="B790" i="1"/>
  <c r="C790" i="1"/>
  <c r="D790" i="1"/>
  <c r="E790" i="1"/>
  <c r="G790" i="1"/>
  <c r="K791" i="1"/>
  <c r="B791" i="1"/>
  <c r="C791" i="1"/>
  <c r="D791" i="1"/>
  <c r="E791" i="1"/>
  <c r="G791" i="1"/>
  <c r="K792" i="1"/>
  <c r="B792" i="1"/>
  <c r="C792" i="1"/>
  <c r="D792" i="1"/>
  <c r="E792" i="1"/>
  <c r="G792" i="1"/>
  <c r="K793" i="1"/>
  <c r="B793" i="1"/>
  <c r="C793" i="1"/>
  <c r="D793" i="1"/>
  <c r="E793" i="1"/>
  <c r="G793" i="1"/>
  <c r="K794" i="1"/>
  <c r="B794" i="1"/>
  <c r="C794" i="1"/>
  <c r="D794" i="1"/>
  <c r="E794" i="1"/>
  <c r="G794" i="1"/>
  <c r="K795" i="1"/>
  <c r="B795" i="1"/>
  <c r="C795" i="1"/>
  <c r="D795" i="1"/>
  <c r="E795" i="1"/>
  <c r="G795" i="1"/>
  <c r="K796" i="1"/>
  <c r="B796" i="1"/>
  <c r="C796" i="1"/>
  <c r="D796" i="1"/>
  <c r="E796" i="1"/>
  <c r="G796" i="1"/>
  <c r="K797" i="1"/>
  <c r="B797" i="1"/>
  <c r="C797" i="1"/>
  <c r="D797" i="1"/>
  <c r="E797" i="1"/>
  <c r="G797" i="1"/>
  <c r="K798" i="1"/>
  <c r="B798" i="1"/>
  <c r="C798" i="1"/>
  <c r="D798" i="1"/>
  <c r="E798" i="1"/>
  <c r="G798" i="1"/>
  <c r="K799" i="1"/>
  <c r="B799" i="1"/>
  <c r="C799" i="1"/>
  <c r="D799" i="1"/>
  <c r="E799" i="1"/>
  <c r="G799" i="1"/>
  <c r="K800" i="1"/>
  <c r="B800" i="1"/>
  <c r="C800" i="1"/>
  <c r="D800" i="1"/>
  <c r="E800" i="1"/>
  <c r="G800" i="1"/>
  <c r="K801" i="1"/>
  <c r="B801" i="1"/>
  <c r="C801" i="1"/>
  <c r="D801" i="1"/>
  <c r="E801" i="1"/>
  <c r="G801" i="1"/>
  <c r="K802" i="1"/>
  <c r="B802" i="1"/>
  <c r="C802" i="1"/>
  <c r="D802" i="1"/>
  <c r="E802" i="1"/>
  <c r="G802" i="1"/>
  <c r="K803" i="1"/>
  <c r="B803" i="1"/>
  <c r="C803" i="1"/>
  <c r="D803" i="1"/>
  <c r="E803" i="1"/>
  <c r="G803" i="1"/>
  <c r="K804" i="1"/>
  <c r="B804" i="1"/>
  <c r="C804" i="1"/>
  <c r="D804" i="1"/>
  <c r="E804" i="1"/>
  <c r="G804" i="1"/>
  <c r="K805" i="1"/>
  <c r="B805" i="1"/>
  <c r="C805" i="1"/>
  <c r="D805" i="1"/>
  <c r="E805" i="1"/>
  <c r="G805" i="1"/>
  <c r="K806" i="1"/>
  <c r="B806" i="1"/>
  <c r="C806" i="1"/>
  <c r="D806" i="1"/>
  <c r="E806" i="1"/>
  <c r="G806" i="1"/>
  <c r="K807" i="1"/>
  <c r="B807" i="1"/>
  <c r="C807" i="1"/>
  <c r="D807" i="1"/>
  <c r="E807" i="1"/>
  <c r="G807" i="1"/>
  <c r="K808" i="1"/>
  <c r="B808" i="1"/>
  <c r="C808" i="1"/>
  <c r="D808" i="1"/>
  <c r="E808" i="1"/>
  <c r="G808" i="1"/>
  <c r="K809" i="1"/>
  <c r="B809" i="1"/>
  <c r="C809" i="1"/>
  <c r="D809" i="1"/>
  <c r="E809" i="1"/>
  <c r="G809" i="1"/>
  <c r="K810" i="1"/>
  <c r="B810" i="1"/>
  <c r="C810" i="1"/>
  <c r="D810" i="1"/>
  <c r="E810" i="1"/>
  <c r="G810" i="1"/>
  <c r="K811" i="1"/>
  <c r="B811" i="1"/>
  <c r="C811" i="1"/>
  <c r="D811" i="1"/>
  <c r="E811" i="1"/>
  <c r="G811" i="1"/>
  <c r="K812" i="1"/>
  <c r="B812" i="1"/>
  <c r="C812" i="1"/>
  <c r="D812" i="1"/>
  <c r="E812" i="1"/>
  <c r="G812" i="1"/>
  <c r="K813" i="1"/>
  <c r="B813" i="1"/>
  <c r="C813" i="1"/>
  <c r="D813" i="1"/>
  <c r="E813" i="1"/>
  <c r="G813" i="1"/>
  <c r="K814" i="1"/>
  <c r="B814" i="1"/>
  <c r="C814" i="1"/>
  <c r="D814" i="1"/>
  <c r="E814" i="1"/>
  <c r="G814" i="1"/>
  <c r="K815" i="1"/>
  <c r="B815" i="1"/>
  <c r="C815" i="1"/>
  <c r="D815" i="1"/>
  <c r="E815" i="1"/>
  <c r="G815" i="1"/>
  <c r="K816" i="1"/>
  <c r="B816" i="1"/>
  <c r="C816" i="1"/>
  <c r="D816" i="1"/>
  <c r="E816" i="1"/>
  <c r="G816" i="1"/>
  <c r="K817" i="1"/>
  <c r="B817" i="1"/>
  <c r="C817" i="1"/>
  <c r="D817" i="1"/>
  <c r="E817" i="1"/>
  <c r="G817" i="1"/>
  <c r="K818" i="1"/>
  <c r="B818" i="1"/>
  <c r="C818" i="1"/>
  <c r="D818" i="1"/>
  <c r="E818" i="1"/>
  <c r="G818" i="1"/>
  <c r="K819" i="1"/>
  <c r="B819" i="1"/>
  <c r="C819" i="1"/>
  <c r="D819" i="1"/>
  <c r="E819" i="1"/>
  <c r="G819" i="1"/>
  <c r="K820" i="1"/>
  <c r="B820" i="1"/>
  <c r="C820" i="1"/>
  <c r="D820" i="1"/>
  <c r="E820" i="1"/>
  <c r="G820" i="1"/>
  <c r="K821" i="1"/>
  <c r="B821" i="1"/>
  <c r="C821" i="1"/>
  <c r="D821" i="1"/>
  <c r="E821" i="1"/>
  <c r="G821" i="1"/>
  <c r="K822" i="1"/>
  <c r="B822" i="1"/>
  <c r="C822" i="1"/>
  <c r="D822" i="1"/>
  <c r="E822" i="1"/>
  <c r="G822" i="1"/>
  <c r="K823" i="1"/>
  <c r="B823" i="1"/>
  <c r="C823" i="1"/>
  <c r="D823" i="1"/>
  <c r="E823" i="1"/>
  <c r="G823" i="1"/>
  <c r="K824" i="1"/>
  <c r="B824" i="1"/>
  <c r="C824" i="1"/>
  <c r="D824" i="1"/>
  <c r="E824" i="1"/>
  <c r="G824" i="1"/>
  <c r="K825" i="1"/>
  <c r="B825" i="1"/>
  <c r="C825" i="1"/>
  <c r="D825" i="1"/>
  <c r="E825" i="1"/>
  <c r="G825" i="1"/>
  <c r="K826" i="1"/>
  <c r="B826" i="1"/>
  <c r="C826" i="1"/>
  <c r="D826" i="1"/>
  <c r="E826" i="1"/>
  <c r="G826" i="1"/>
  <c r="K827" i="1"/>
  <c r="B827" i="1"/>
  <c r="C827" i="1"/>
  <c r="D827" i="1"/>
  <c r="E827" i="1"/>
  <c r="G827" i="1"/>
  <c r="K828" i="1"/>
  <c r="B828" i="1"/>
  <c r="C828" i="1"/>
  <c r="D828" i="1"/>
  <c r="E828" i="1"/>
  <c r="G828" i="1"/>
  <c r="K829" i="1"/>
  <c r="B829" i="1"/>
  <c r="C829" i="1"/>
  <c r="D829" i="1"/>
  <c r="E829" i="1"/>
  <c r="G829" i="1"/>
  <c r="K830" i="1"/>
  <c r="B830" i="1"/>
  <c r="C830" i="1"/>
  <c r="D830" i="1"/>
  <c r="E830" i="1"/>
  <c r="G830" i="1"/>
  <c r="K831" i="1"/>
  <c r="B831" i="1"/>
  <c r="C831" i="1"/>
  <c r="D831" i="1"/>
  <c r="E831" i="1"/>
  <c r="G831" i="1"/>
  <c r="K832" i="1"/>
  <c r="B832" i="1"/>
  <c r="C832" i="1"/>
  <c r="D832" i="1"/>
  <c r="E832" i="1"/>
  <c r="G832" i="1"/>
  <c r="K833" i="1"/>
  <c r="B833" i="1"/>
  <c r="C833" i="1"/>
  <c r="D833" i="1"/>
  <c r="E833" i="1"/>
  <c r="G833" i="1"/>
  <c r="K834" i="1"/>
  <c r="B834" i="1"/>
  <c r="C834" i="1"/>
  <c r="D834" i="1"/>
  <c r="E834" i="1"/>
  <c r="G834" i="1"/>
  <c r="K835" i="1"/>
  <c r="B835" i="1"/>
  <c r="C835" i="1"/>
  <c r="D835" i="1"/>
  <c r="E835" i="1"/>
  <c r="G835" i="1"/>
  <c r="K836" i="1"/>
  <c r="B836" i="1"/>
  <c r="C836" i="1"/>
  <c r="D836" i="1"/>
  <c r="E836" i="1"/>
  <c r="G836" i="1"/>
  <c r="K837" i="1"/>
  <c r="B837" i="1"/>
  <c r="C837" i="1"/>
  <c r="D837" i="1"/>
  <c r="E837" i="1"/>
  <c r="G837" i="1"/>
  <c r="K838" i="1"/>
  <c r="B838" i="1"/>
  <c r="C838" i="1"/>
  <c r="D838" i="1"/>
  <c r="E838" i="1"/>
  <c r="G838" i="1"/>
  <c r="K839" i="1"/>
  <c r="B839" i="1"/>
  <c r="C839" i="1"/>
  <c r="D839" i="1"/>
  <c r="E839" i="1"/>
  <c r="G839" i="1"/>
  <c r="K840" i="1"/>
  <c r="B840" i="1"/>
  <c r="C840" i="1"/>
  <c r="D840" i="1"/>
  <c r="E840" i="1"/>
  <c r="G840" i="1"/>
  <c r="K841" i="1"/>
  <c r="B841" i="1"/>
  <c r="C841" i="1"/>
  <c r="D841" i="1"/>
  <c r="E841" i="1"/>
  <c r="G841" i="1"/>
  <c r="K842" i="1"/>
  <c r="B842" i="1"/>
  <c r="C842" i="1"/>
  <c r="D842" i="1"/>
  <c r="E842" i="1"/>
  <c r="G842" i="1"/>
  <c r="K843" i="1"/>
  <c r="B843" i="1"/>
  <c r="C843" i="1"/>
  <c r="D843" i="1"/>
  <c r="E843" i="1"/>
  <c r="G843" i="1"/>
  <c r="K844" i="1"/>
  <c r="B844" i="1"/>
  <c r="C844" i="1"/>
  <c r="D844" i="1"/>
  <c r="E844" i="1"/>
  <c r="G844" i="1"/>
  <c r="K845" i="1"/>
  <c r="B845" i="1"/>
  <c r="C845" i="1"/>
  <c r="D845" i="1"/>
  <c r="E845" i="1"/>
  <c r="G845" i="1"/>
  <c r="K846" i="1"/>
  <c r="B846" i="1"/>
  <c r="C846" i="1"/>
  <c r="D846" i="1"/>
  <c r="E846" i="1"/>
  <c r="G846" i="1"/>
  <c r="K847" i="1"/>
  <c r="B847" i="1"/>
  <c r="C847" i="1"/>
  <c r="D847" i="1"/>
  <c r="E847" i="1"/>
  <c r="G847" i="1"/>
  <c r="K848" i="1"/>
  <c r="B848" i="1"/>
  <c r="C848" i="1"/>
  <c r="D848" i="1"/>
  <c r="E848" i="1"/>
  <c r="G848" i="1"/>
  <c r="K849" i="1"/>
  <c r="B849" i="1"/>
  <c r="C849" i="1"/>
  <c r="D849" i="1"/>
  <c r="E849" i="1"/>
  <c r="G849" i="1"/>
  <c r="K850" i="1"/>
  <c r="B850" i="1"/>
  <c r="C850" i="1"/>
  <c r="D850" i="1"/>
  <c r="E850" i="1"/>
  <c r="G850" i="1"/>
  <c r="K851" i="1"/>
  <c r="B851" i="1"/>
  <c r="C851" i="1"/>
  <c r="D851" i="1"/>
  <c r="E851" i="1"/>
  <c r="G851" i="1"/>
  <c r="K852" i="1"/>
  <c r="B852" i="1"/>
  <c r="C852" i="1"/>
  <c r="D852" i="1"/>
  <c r="E852" i="1"/>
  <c r="G852" i="1"/>
  <c r="K853" i="1"/>
  <c r="B853" i="1"/>
  <c r="C853" i="1"/>
  <c r="D853" i="1"/>
  <c r="E853" i="1"/>
  <c r="G853" i="1"/>
  <c r="K854" i="1"/>
  <c r="B854" i="1"/>
  <c r="C854" i="1"/>
  <c r="D854" i="1"/>
  <c r="E854" i="1"/>
  <c r="G854" i="1"/>
  <c r="K855" i="1"/>
  <c r="B855" i="1"/>
  <c r="C855" i="1"/>
  <c r="D855" i="1"/>
  <c r="E855" i="1"/>
  <c r="G855" i="1"/>
  <c r="K856" i="1"/>
  <c r="B856" i="1"/>
  <c r="C856" i="1"/>
  <c r="D856" i="1"/>
  <c r="E856" i="1"/>
  <c r="G856" i="1"/>
  <c r="K857" i="1"/>
  <c r="B857" i="1"/>
  <c r="C857" i="1"/>
  <c r="D857" i="1"/>
  <c r="E857" i="1"/>
  <c r="G857" i="1"/>
  <c r="K858" i="1"/>
  <c r="B858" i="1"/>
  <c r="C858" i="1"/>
  <c r="D858" i="1"/>
  <c r="E858" i="1"/>
  <c r="G858" i="1"/>
  <c r="K859" i="1"/>
  <c r="B859" i="1"/>
  <c r="C859" i="1"/>
  <c r="D859" i="1"/>
  <c r="E859" i="1"/>
  <c r="G859" i="1"/>
  <c r="K860" i="1"/>
  <c r="B860" i="1"/>
  <c r="C860" i="1"/>
  <c r="D860" i="1"/>
  <c r="E860" i="1"/>
  <c r="G860" i="1"/>
  <c r="K861" i="1"/>
  <c r="B861" i="1"/>
  <c r="C861" i="1"/>
  <c r="D861" i="1"/>
  <c r="E861" i="1"/>
  <c r="G861" i="1"/>
  <c r="K862" i="1"/>
  <c r="B862" i="1"/>
  <c r="C862" i="1"/>
  <c r="D862" i="1"/>
  <c r="E862" i="1"/>
  <c r="G862" i="1"/>
  <c r="K863" i="1"/>
  <c r="B863" i="1"/>
  <c r="C863" i="1"/>
  <c r="D863" i="1"/>
  <c r="E863" i="1"/>
  <c r="G863" i="1"/>
  <c r="K864" i="1"/>
  <c r="B864" i="1"/>
  <c r="C864" i="1"/>
  <c r="D864" i="1"/>
  <c r="E864" i="1"/>
  <c r="G864" i="1"/>
  <c r="K865" i="1"/>
  <c r="B865" i="1"/>
  <c r="C865" i="1"/>
  <c r="D865" i="1"/>
  <c r="E865" i="1"/>
  <c r="G865" i="1"/>
  <c r="K866" i="1"/>
  <c r="B866" i="1"/>
  <c r="C866" i="1"/>
  <c r="D866" i="1"/>
  <c r="E866" i="1"/>
  <c r="G866" i="1"/>
  <c r="K867" i="1"/>
  <c r="B867" i="1"/>
  <c r="C867" i="1"/>
  <c r="D867" i="1"/>
  <c r="E867" i="1"/>
  <c r="G867" i="1"/>
  <c r="K868" i="1"/>
  <c r="B868" i="1"/>
  <c r="C868" i="1"/>
  <c r="D868" i="1"/>
  <c r="E868" i="1"/>
  <c r="G868" i="1"/>
  <c r="K869" i="1"/>
  <c r="B869" i="1"/>
  <c r="C869" i="1"/>
  <c r="D869" i="1"/>
  <c r="E869" i="1"/>
  <c r="G869" i="1"/>
  <c r="K870" i="1"/>
  <c r="B870" i="1"/>
  <c r="C870" i="1"/>
  <c r="D870" i="1"/>
  <c r="E870" i="1"/>
  <c r="G870" i="1"/>
  <c r="K871" i="1"/>
  <c r="B871" i="1"/>
  <c r="C871" i="1"/>
  <c r="D871" i="1"/>
  <c r="E871" i="1"/>
  <c r="G871" i="1"/>
  <c r="K872" i="1"/>
  <c r="B872" i="1"/>
  <c r="C872" i="1"/>
  <c r="D872" i="1"/>
  <c r="E872" i="1"/>
  <c r="G872" i="1"/>
  <c r="K873" i="1"/>
  <c r="B873" i="1"/>
  <c r="C873" i="1"/>
  <c r="D873" i="1"/>
  <c r="E873" i="1"/>
  <c r="G873" i="1"/>
  <c r="K874" i="1"/>
  <c r="B874" i="1"/>
  <c r="C874" i="1"/>
  <c r="D874" i="1"/>
  <c r="E874" i="1"/>
  <c r="G874" i="1"/>
  <c r="K875" i="1"/>
  <c r="B875" i="1"/>
  <c r="C875" i="1"/>
  <c r="D875" i="1"/>
  <c r="E875" i="1"/>
  <c r="G875" i="1"/>
  <c r="K876" i="1"/>
  <c r="B876" i="1"/>
  <c r="C876" i="1"/>
  <c r="D876" i="1"/>
  <c r="E876" i="1"/>
  <c r="G876" i="1"/>
  <c r="K877" i="1"/>
  <c r="B877" i="1"/>
  <c r="C877" i="1"/>
  <c r="D877" i="1"/>
  <c r="E877" i="1"/>
  <c r="G877" i="1"/>
  <c r="K878" i="1"/>
  <c r="B878" i="1"/>
  <c r="C878" i="1"/>
  <c r="D878" i="1"/>
  <c r="E878" i="1"/>
  <c r="G878" i="1"/>
  <c r="K879" i="1"/>
  <c r="B879" i="1"/>
  <c r="C879" i="1"/>
  <c r="D879" i="1"/>
  <c r="E879" i="1"/>
  <c r="G879" i="1"/>
  <c r="K880" i="1"/>
  <c r="B880" i="1"/>
  <c r="C880" i="1"/>
  <c r="D880" i="1"/>
  <c r="E880" i="1"/>
  <c r="G880" i="1"/>
  <c r="K881" i="1"/>
  <c r="B881" i="1"/>
  <c r="C881" i="1"/>
  <c r="D881" i="1"/>
  <c r="E881" i="1"/>
  <c r="G881" i="1"/>
  <c r="K882" i="1"/>
  <c r="B882" i="1"/>
  <c r="C882" i="1"/>
  <c r="D882" i="1"/>
  <c r="E882" i="1"/>
  <c r="G882" i="1"/>
  <c r="K883" i="1"/>
  <c r="B883" i="1"/>
  <c r="C883" i="1"/>
  <c r="D883" i="1"/>
  <c r="E883" i="1"/>
  <c r="G883" i="1"/>
  <c r="K884" i="1"/>
  <c r="B884" i="1"/>
  <c r="C884" i="1"/>
  <c r="D884" i="1"/>
  <c r="E884" i="1"/>
  <c r="G884" i="1"/>
  <c r="K885" i="1"/>
  <c r="B885" i="1"/>
  <c r="C885" i="1"/>
  <c r="D885" i="1"/>
  <c r="E885" i="1"/>
  <c r="G885" i="1"/>
  <c r="K886" i="1"/>
  <c r="B886" i="1"/>
  <c r="C886" i="1"/>
  <c r="D886" i="1"/>
  <c r="E886" i="1"/>
  <c r="G886" i="1"/>
  <c r="K887" i="1"/>
  <c r="B887" i="1"/>
  <c r="C887" i="1"/>
  <c r="D887" i="1"/>
  <c r="E887" i="1"/>
  <c r="G887" i="1"/>
  <c r="K888" i="1"/>
  <c r="B888" i="1"/>
  <c r="C888" i="1"/>
  <c r="D888" i="1"/>
  <c r="E888" i="1"/>
  <c r="G888" i="1"/>
  <c r="K889" i="1"/>
  <c r="B889" i="1"/>
  <c r="C889" i="1"/>
  <c r="D889" i="1"/>
  <c r="E889" i="1"/>
  <c r="G889" i="1"/>
  <c r="K890" i="1"/>
  <c r="B890" i="1"/>
  <c r="C890" i="1"/>
  <c r="D890" i="1"/>
  <c r="E890" i="1"/>
  <c r="G890" i="1"/>
  <c r="K891" i="1"/>
  <c r="B891" i="1"/>
  <c r="C891" i="1"/>
  <c r="D891" i="1"/>
  <c r="E891" i="1"/>
  <c r="G891" i="1"/>
  <c r="K892" i="1"/>
  <c r="B892" i="1"/>
  <c r="C892" i="1"/>
  <c r="D892" i="1"/>
  <c r="E892" i="1"/>
  <c r="G892" i="1"/>
  <c r="K893" i="1"/>
  <c r="B893" i="1"/>
  <c r="C893" i="1"/>
  <c r="D893" i="1"/>
  <c r="E893" i="1"/>
  <c r="G893" i="1"/>
  <c r="K894" i="1"/>
  <c r="B894" i="1"/>
  <c r="C894" i="1"/>
  <c r="D894" i="1"/>
  <c r="E894" i="1"/>
  <c r="G894" i="1"/>
  <c r="K895" i="1"/>
  <c r="B895" i="1"/>
  <c r="C895" i="1"/>
  <c r="D895" i="1"/>
  <c r="E895" i="1"/>
  <c r="G895" i="1"/>
  <c r="K896" i="1"/>
  <c r="B896" i="1"/>
  <c r="C896" i="1"/>
  <c r="D896" i="1"/>
  <c r="E896" i="1"/>
  <c r="G896" i="1"/>
  <c r="K897" i="1"/>
  <c r="B897" i="1"/>
  <c r="C897" i="1"/>
  <c r="D897" i="1"/>
  <c r="E897" i="1"/>
  <c r="G897" i="1"/>
  <c r="K898" i="1"/>
  <c r="B898" i="1"/>
  <c r="C898" i="1"/>
  <c r="D898" i="1"/>
  <c r="E898" i="1"/>
  <c r="G898" i="1"/>
  <c r="K899" i="1"/>
  <c r="B899" i="1"/>
  <c r="C899" i="1"/>
  <c r="D899" i="1"/>
  <c r="E899" i="1"/>
  <c r="G899" i="1"/>
  <c r="K900" i="1"/>
  <c r="B900" i="1"/>
  <c r="C900" i="1"/>
  <c r="D900" i="1"/>
  <c r="E900" i="1"/>
  <c r="G900" i="1"/>
  <c r="K901" i="1"/>
  <c r="B901" i="1"/>
  <c r="C901" i="1"/>
  <c r="D901" i="1"/>
  <c r="E901" i="1"/>
  <c r="G901" i="1"/>
  <c r="K902" i="1"/>
  <c r="B902" i="1"/>
  <c r="C902" i="1"/>
  <c r="D902" i="1"/>
  <c r="E902" i="1"/>
  <c r="G902" i="1"/>
  <c r="K903" i="1"/>
  <c r="B903" i="1"/>
  <c r="C903" i="1"/>
  <c r="D903" i="1"/>
  <c r="E903" i="1"/>
  <c r="G903" i="1"/>
  <c r="K904" i="1"/>
  <c r="B904" i="1"/>
  <c r="C904" i="1"/>
  <c r="D904" i="1"/>
  <c r="E904" i="1"/>
  <c r="G904" i="1"/>
  <c r="K905" i="1"/>
  <c r="B905" i="1"/>
  <c r="C905" i="1"/>
  <c r="D905" i="1"/>
  <c r="E905" i="1"/>
  <c r="G905" i="1"/>
  <c r="K906" i="1"/>
  <c r="B906" i="1"/>
  <c r="C906" i="1"/>
  <c r="D906" i="1"/>
  <c r="E906" i="1"/>
  <c r="G906" i="1"/>
  <c r="K907" i="1"/>
  <c r="B907" i="1"/>
  <c r="C907" i="1"/>
  <c r="D907" i="1"/>
  <c r="E907" i="1"/>
  <c r="G907" i="1"/>
  <c r="K908" i="1"/>
  <c r="B908" i="1"/>
  <c r="C908" i="1"/>
  <c r="D908" i="1"/>
  <c r="E908" i="1"/>
  <c r="G908" i="1"/>
  <c r="K909" i="1"/>
  <c r="B909" i="1"/>
  <c r="C909" i="1"/>
  <c r="D909" i="1"/>
  <c r="E909" i="1"/>
  <c r="G909" i="1"/>
  <c r="K910" i="1"/>
  <c r="B910" i="1"/>
  <c r="C910" i="1"/>
  <c r="D910" i="1"/>
  <c r="E910" i="1"/>
  <c r="G910" i="1"/>
  <c r="K911" i="1"/>
  <c r="B911" i="1"/>
  <c r="C911" i="1"/>
  <c r="D911" i="1"/>
  <c r="E911" i="1"/>
  <c r="G911" i="1"/>
  <c r="K912" i="1"/>
  <c r="B912" i="1"/>
  <c r="C912" i="1"/>
  <c r="D912" i="1"/>
  <c r="E912" i="1"/>
  <c r="G912" i="1"/>
  <c r="K913" i="1"/>
  <c r="B913" i="1"/>
  <c r="C913" i="1"/>
  <c r="D913" i="1"/>
  <c r="E913" i="1"/>
  <c r="G913" i="1"/>
  <c r="K914" i="1"/>
  <c r="B914" i="1"/>
  <c r="C914" i="1"/>
  <c r="D914" i="1"/>
  <c r="E914" i="1"/>
  <c r="G914" i="1"/>
  <c r="K915" i="1"/>
  <c r="B915" i="1"/>
  <c r="C915" i="1"/>
  <c r="D915" i="1"/>
  <c r="E915" i="1"/>
  <c r="G915" i="1"/>
  <c r="K916" i="1"/>
  <c r="B916" i="1"/>
  <c r="C916" i="1"/>
  <c r="D916" i="1"/>
  <c r="E916" i="1"/>
  <c r="G916" i="1"/>
  <c r="K917" i="1"/>
  <c r="B917" i="1"/>
  <c r="C917" i="1"/>
  <c r="D917" i="1"/>
  <c r="E917" i="1"/>
  <c r="G917" i="1"/>
  <c r="K918" i="1"/>
  <c r="B918" i="1"/>
  <c r="C918" i="1"/>
  <c r="D918" i="1"/>
  <c r="E918" i="1"/>
  <c r="G918" i="1"/>
  <c r="K919" i="1"/>
  <c r="B919" i="1"/>
  <c r="C919" i="1"/>
  <c r="D919" i="1"/>
  <c r="E919" i="1"/>
  <c r="G919" i="1"/>
  <c r="K920" i="1"/>
  <c r="B920" i="1"/>
  <c r="C920" i="1"/>
  <c r="D920" i="1"/>
  <c r="E920" i="1"/>
  <c r="G920" i="1"/>
  <c r="K921" i="1"/>
  <c r="B921" i="1"/>
  <c r="C921" i="1"/>
  <c r="D921" i="1"/>
  <c r="E921" i="1"/>
  <c r="G921" i="1"/>
  <c r="K922" i="1"/>
  <c r="B922" i="1"/>
  <c r="C922" i="1"/>
  <c r="D922" i="1"/>
  <c r="E922" i="1"/>
  <c r="G922" i="1"/>
  <c r="K923" i="1"/>
  <c r="B923" i="1"/>
  <c r="C923" i="1"/>
  <c r="D923" i="1"/>
  <c r="E923" i="1"/>
  <c r="G923" i="1"/>
  <c r="K924" i="1"/>
  <c r="B924" i="1"/>
  <c r="C924" i="1"/>
  <c r="D924" i="1"/>
  <c r="E924" i="1"/>
  <c r="G924" i="1"/>
  <c r="K925" i="1"/>
  <c r="B925" i="1"/>
  <c r="C925" i="1"/>
  <c r="D925" i="1"/>
  <c r="E925" i="1"/>
  <c r="G925" i="1"/>
  <c r="K926" i="1"/>
  <c r="B926" i="1"/>
  <c r="C926" i="1"/>
  <c r="D926" i="1"/>
  <c r="E926" i="1"/>
  <c r="G926" i="1"/>
  <c r="K927" i="1"/>
  <c r="B927" i="1"/>
  <c r="C927" i="1"/>
  <c r="D927" i="1"/>
  <c r="E927" i="1"/>
  <c r="G927" i="1"/>
  <c r="K928" i="1"/>
  <c r="B928" i="1"/>
  <c r="C928" i="1"/>
  <c r="D928" i="1"/>
  <c r="E928" i="1"/>
  <c r="G928" i="1"/>
  <c r="K929" i="1"/>
  <c r="B929" i="1"/>
  <c r="C929" i="1"/>
  <c r="D929" i="1"/>
  <c r="E929" i="1"/>
  <c r="G929" i="1"/>
  <c r="K930" i="1"/>
  <c r="B930" i="1"/>
  <c r="C930" i="1"/>
  <c r="D930" i="1"/>
  <c r="E930" i="1"/>
  <c r="G930" i="1"/>
  <c r="K931" i="1"/>
  <c r="B931" i="1"/>
  <c r="C931" i="1"/>
  <c r="D931" i="1"/>
  <c r="E931" i="1"/>
  <c r="G931" i="1"/>
  <c r="K932" i="1"/>
  <c r="B932" i="1"/>
  <c r="C932" i="1"/>
  <c r="D932" i="1"/>
  <c r="E932" i="1"/>
  <c r="G932" i="1"/>
  <c r="K933" i="1"/>
  <c r="B933" i="1"/>
  <c r="C933" i="1"/>
  <c r="D933" i="1"/>
  <c r="E933" i="1"/>
  <c r="G933" i="1"/>
  <c r="K934" i="1"/>
  <c r="B934" i="1"/>
  <c r="C934" i="1"/>
  <c r="D934" i="1"/>
  <c r="E934" i="1"/>
  <c r="G934" i="1"/>
  <c r="K935" i="1"/>
  <c r="B935" i="1"/>
  <c r="C935" i="1"/>
  <c r="D935" i="1"/>
  <c r="E935" i="1"/>
  <c r="G935" i="1"/>
  <c r="K936" i="1"/>
  <c r="B936" i="1"/>
  <c r="C936" i="1"/>
  <c r="D936" i="1"/>
  <c r="E936" i="1"/>
  <c r="G936" i="1"/>
  <c r="K937" i="1"/>
  <c r="B937" i="1"/>
  <c r="C937" i="1"/>
  <c r="D937" i="1"/>
  <c r="E937" i="1"/>
  <c r="G937" i="1"/>
  <c r="K938" i="1"/>
  <c r="B938" i="1"/>
  <c r="C938" i="1"/>
  <c r="D938" i="1"/>
  <c r="E938" i="1"/>
  <c r="G938" i="1"/>
  <c r="K939" i="1"/>
  <c r="B939" i="1"/>
  <c r="C939" i="1"/>
  <c r="D939" i="1"/>
  <c r="E939" i="1"/>
  <c r="G939" i="1"/>
  <c r="K940" i="1"/>
  <c r="B940" i="1"/>
  <c r="C940" i="1"/>
  <c r="D940" i="1"/>
  <c r="E940" i="1"/>
  <c r="G940" i="1"/>
  <c r="K941" i="1"/>
  <c r="B941" i="1"/>
  <c r="C941" i="1"/>
  <c r="D941" i="1"/>
  <c r="E941" i="1"/>
  <c r="G941" i="1"/>
  <c r="K942" i="1"/>
  <c r="B942" i="1"/>
  <c r="C942" i="1"/>
  <c r="D942" i="1"/>
  <c r="E942" i="1"/>
  <c r="G942" i="1"/>
  <c r="K943" i="1"/>
  <c r="B943" i="1"/>
  <c r="C943" i="1"/>
  <c r="D943" i="1"/>
  <c r="E943" i="1"/>
  <c r="G943" i="1"/>
  <c r="K944" i="1"/>
  <c r="B944" i="1"/>
  <c r="C944" i="1"/>
  <c r="D944" i="1"/>
  <c r="E944" i="1"/>
  <c r="G944" i="1"/>
  <c r="B6" i="1"/>
  <c r="C6" i="1"/>
  <c r="D6" i="1"/>
  <c r="E6" i="1"/>
  <c r="G6" i="1"/>
  <c r="B7" i="1"/>
  <c r="C7" i="1"/>
  <c r="D7" i="1"/>
  <c r="E7" i="1"/>
  <c r="G7" i="1"/>
  <c r="B8" i="1"/>
  <c r="C8" i="1"/>
  <c r="D8" i="1"/>
  <c r="E8" i="1"/>
  <c r="G8" i="1"/>
  <c r="K9" i="1"/>
  <c r="B9" i="1"/>
  <c r="C9" i="1"/>
  <c r="D9" i="1"/>
  <c r="E9" i="1"/>
  <c r="G9" i="1"/>
  <c r="K10" i="1"/>
  <c r="B10" i="1"/>
  <c r="C10" i="1"/>
  <c r="D10" i="1"/>
  <c r="E10" i="1"/>
  <c r="G10" i="1"/>
  <c r="B5" i="1"/>
  <c r="C5" i="1"/>
  <c r="D5" i="1"/>
  <c r="E5" i="1"/>
  <c r="G5" i="1"/>
  <c r="F110" i="1"/>
  <c r="H110" i="1"/>
  <c r="M110" i="1"/>
  <c r="F111" i="1"/>
  <c r="H111" i="1"/>
  <c r="M111" i="1"/>
  <c r="F112" i="1"/>
  <c r="H112" i="1"/>
  <c r="M112" i="1"/>
  <c r="F113" i="1"/>
  <c r="H113" i="1"/>
  <c r="M113" i="1"/>
  <c r="F114" i="1"/>
  <c r="H114" i="1"/>
  <c r="M114" i="1"/>
  <c r="F115" i="1"/>
  <c r="H115" i="1"/>
  <c r="M115" i="1"/>
  <c r="F116" i="1"/>
  <c r="H116" i="1"/>
  <c r="M116" i="1"/>
  <c r="F117" i="1"/>
  <c r="H117" i="1"/>
  <c r="M117" i="1"/>
  <c r="F118" i="1"/>
  <c r="H118" i="1"/>
  <c r="M118" i="1"/>
  <c r="F119" i="1"/>
  <c r="H119" i="1"/>
  <c r="M119" i="1"/>
  <c r="F120" i="1"/>
  <c r="H120" i="1"/>
  <c r="M120" i="1"/>
  <c r="F121" i="1"/>
  <c r="H121" i="1"/>
  <c r="M121" i="1"/>
  <c r="F122" i="1"/>
  <c r="H122" i="1"/>
  <c r="M122" i="1"/>
  <c r="F123" i="1"/>
  <c r="H123" i="1"/>
  <c r="M123" i="1"/>
  <c r="F124" i="1"/>
  <c r="H124" i="1"/>
  <c r="M124" i="1"/>
  <c r="F125" i="1"/>
  <c r="H125" i="1"/>
  <c r="M125" i="1"/>
  <c r="F126" i="1"/>
  <c r="H126" i="1"/>
  <c r="M126" i="1"/>
  <c r="F127" i="1"/>
  <c r="H127" i="1"/>
  <c r="M127" i="1"/>
  <c r="F128" i="1"/>
  <c r="H128" i="1"/>
  <c r="M128" i="1"/>
  <c r="F129" i="1"/>
  <c r="H129" i="1"/>
  <c r="M129" i="1"/>
  <c r="F130" i="1"/>
  <c r="H130" i="1"/>
  <c r="M130" i="1"/>
  <c r="F131" i="1"/>
  <c r="H131" i="1"/>
  <c r="M131" i="1"/>
  <c r="F132" i="1"/>
  <c r="H132" i="1"/>
  <c r="M132" i="1"/>
  <c r="F133" i="1"/>
  <c r="H133" i="1"/>
  <c r="M133" i="1"/>
  <c r="F134" i="1"/>
  <c r="H134" i="1"/>
  <c r="M134" i="1"/>
  <c r="F135" i="1"/>
  <c r="H135" i="1"/>
  <c r="M135" i="1"/>
  <c r="F136" i="1"/>
  <c r="H136" i="1"/>
  <c r="M136" i="1"/>
  <c r="F137" i="1"/>
  <c r="H137" i="1"/>
  <c r="M137" i="1"/>
  <c r="F138" i="1"/>
  <c r="H138" i="1"/>
  <c r="M138" i="1"/>
  <c r="F139" i="1"/>
  <c r="H139" i="1"/>
  <c r="M139" i="1"/>
  <c r="F140" i="1"/>
  <c r="H140" i="1"/>
  <c r="M140" i="1"/>
  <c r="F141" i="1"/>
  <c r="H141" i="1"/>
  <c r="M141" i="1"/>
  <c r="F142" i="1"/>
  <c r="H142" i="1"/>
  <c r="M142" i="1"/>
  <c r="F143" i="1"/>
  <c r="H143" i="1"/>
  <c r="M143" i="1"/>
  <c r="F144" i="1"/>
  <c r="H144" i="1"/>
  <c r="M144" i="1"/>
  <c r="F145" i="1"/>
  <c r="H145" i="1"/>
  <c r="M145" i="1"/>
  <c r="F146" i="1"/>
  <c r="H146" i="1"/>
  <c r="M146" i="1"/>
  <c r="F147" i="1"/>
  <c r="H147" i="1"/>
  <c r="M147" i="1"/>
  <c r="F148" i="1"/>
  <c r="H148" i="1"/>
  <c r="M148" i="1"/>
  <c r="F149" i="1"/>
  <c r="H149" i="1"/>
  <c r="M149" i="1"/>
  <c r="F150" i="1"/>
  <c r="H150" i="1"/>
  <c r="M150" i="1"/>
  <c r="F151" i="1"/>
  <c r="H151" i="1"/>
  <c r="M151" i="1"/>
  <c r="F152" i="1"/>
  <c r="H152" i="1"/>
  <c r="M152" i="1"/>
  <c r="F153" i="1"/>
  <c r="H153" i="1"/>
  <c r="M153" i="1"/>
  <c r="F154" i="1"/>
  <c r="H154" i="1"/>
  <c r="M154" i="1"/>
  <c r="F155" i="1"/>
  <c r="H155" i="1"/>
  <c r="M155" i="1"/>
  <c r="F156" i="1"/>
  <c r="H156" i="1"/>
  <c r="M156" i="1"/>
  <c r="F157" i="1"/>
  <c r="H157" i="1"/>
  <c r="M157" i="1"/>
  <c r="F158" i="1"/>
  <c r="H158" i="1"/>
  <c r="M158" i="1"/>
  <c r="F159" i="1"/>
  <c r="H159" i="1"/>
  <c r="M159" i="1"/>
  <c r="F160" i="1"/>
  <c r="H160" i="1"/>
  <c r="M160" i="1"/>
  <c r="F161" i="1"/>
  <c r="H161" i="1"/>
  <c r="M161" i="1"/>
  <c r="F162" i="1"/>
  <c r="H162" i="1"/>
  <c r="M162" i="1"/>
  <c r="F163" i="1"/>
  <c r="H163" i="1"/>
  <c r="M163" i="1"/>
  <c r="F164" i="1"/>
  <c r="H164" i="1"/>
  <c r="M164" i="1"/>
  <c r="F165" i="1"/>
  <c r="H165" i="1"/>
  <c r="M165" i="1"/>
  <c r="F166" i="1"/>
  <c r="H166" i="1"/>
  <c r="M166" i="1"/>
  <c r="F167" i="1"/>
  <c r="H167" i="1"/>
  <c r="M167" i="1"/>
  <c r="F168" i="1"/>
  <c r="H168" i="1"/>
  <c r="M168" i="1"/>
  <c r="F169" i="1"/>
  <c r="H169" i="1"/>
  <c r="M169" i="1"/>
  <c r="F170" i="1"/>
  <c r="H170" i="1"/>
  <c r="M170" i="1"/>
  <c r="F171" i="1"/>
  <c r="H171" i="1"/>
  <c r="M171" i="1"/>
  <c r="F172" i="1"/>
  <c r="H172" i="1"/>
  <c r="M172" i="1"/>
  <c r="F173" i="1"/>
  <c r="H173" i="1"/>
  <c r="M173" i="1"/>
  <c r="F174" i="1"/>
  <c r="H174" i="1"/>
  <c r="M174" i="1"/>
  <c r="F175" i="1"/>
  <c r="H175" i="1"/>
  <c r="M175" i="1"/>
  <c r="F176" i="1"/>
  <c r="H176" i="1"/>
  <c r="M176" i="1"/>
  <c r="F177" i="1"/>
  <c r="H177" i="1"/>
  <c r="M177" i="1"/>
  <c r="F178" i="1"/>
  <c r="H178" i="1"/>
  <c r="M178" i="1"/>
  <c r="F179" i="1"/>
  <c r="H179" i="1"/>
  <c r="M179" i="1"/>
  <c r="F180" i="1"/>
  <c r="H180" i="1"/>
  <c r="M180" i="1"/>
  <c r="F181" i="1"/>
  <c r="H181" i="1"/>
  <c r="M181" i="1"/>
  <c r="F182" i="1"/>
  <c r="H182" i="1"/>
  <c r="M182" i="1"/>
  <c r="F183" i="1"/>
  <c r="H183" i="1"/>
  <c r="M183" i="1"/>
  <c r="F184" i="1"/>
  <c r="H184" i="1"/>
  <c r="M184" i="1"/>
  <c r="F185" i="1"/>
  <c r="H185" i="1"/>
  <c r="M185" i="1"/>
  <c r="F186" i="1"/>
  <c r="H186" i="1"/>
  <c r="M186" i="1"/>
  <c r="F187" i="1"/>
  <c r="H187" i="1"/>
  <c r="M187" i="1"/>
  <c r="F188" i="1"/>
  <c r="H188" i="1"/>
  <c r="M188" i="1"/>
  <c r="F189" i="1"/>
  <c r="H189" i="1"/>
  <c r="M189" i="1"/>
  <c r="F190" i="1"/>
  <c r="H190" i="1"/>
  <c r="M190" i="1"/>
  <c r="F191" i="1"/>
  <c r="H191" i="1"/>
  <c r="M191" i="1"/>
  <c r="F192" i="1"/>
  <c r="H192" i="1"/>
  <c r="M192" i="1"/>
  <c r="F193" i="1"/>
  <c r="H193" i="1"/>
  <c r="M193" i="1"/>
  <c r="F194" i="1"/>
  <c r="H194" i="1"/>
  <c r="M194" i="1"/>
  <c r="F195" i="1"/>
  <c r="H195" i="1"/>
  <c r="M195" i="1"/>
  <c r="F196" i="1"/>
  <c r="H196" i="1"/>
  <c r="M196" i="1"/>
  <c r="F197" i="1"/>
  <c r="H197" i="1"/>
  <c r="M197" i="1"/>
  <c r="F198" i="1"/>
  <c r="H198" i="1"/>
  <c r="M198" i="1"/>
  <c r="F199" i="1"/>
  <c r="H199" i="1"/>
  <c r="M199" i="1"/>
  <c r="F200" i="1"/>
  <c r="H200" i="1"/>
  <c r="M200" i="1"/>
  <c r="F201" i="1"/>
  <c r="H201" i="1"/>
  <c r="M201" i="1"/>
  <c r="F202" i="1"/>
  <c r="H202" i="1"/>
  <c r="M202" i="1"/>
  <c r="F203" i="1"/>
  <c r="H203" i="1"/>
  <c r="M203" i="1"/>
  <c r="F204" i="1"/>
  <c r="H204" i="1"/>
  <c r="M204" i="1"/>
  <c r="F205" i="1"/>
  <c r="H205" i="1"/>
  <c r="M205" i="1"/>
  <c r="F206" i="1"/>
  <c r="H206" i="1"/>
  <c r="M206" i="1"/>
  <c r="F207" i="1"/>
  <c r="H207" i="1"/>
  <c r="M207" i="1"/>
  <c r="F208" i="1"/>
  <c r="H208" i="1"/>
  <c r="M208" i="1"/>
  <c r="F209" i="1"/>
  <c r="H209" i="1"/>
  <c r="M209" i="1"/>
  <c r="F210" i="1"/>
  <c r="H210" i="1"/>
  <c r="M210" i="1"/>
  <c r="F211" i="1"/>
  <c r="H211" i="1"/>
  <c r="M211" i="1"/>
  <c r="F212" i="1"/>
  <c r="H212" i="1"/>
  <c r="M212" i="1"/>
  <c r="F213" i="1"/>
  <c r="H213" i="1"/>
  <c r="M213" i="1"/>
  <c r="F214" i="1"/>
  <c r="H214" i="1"/>
  <c r="M214" i="1"/>
  <c r="F215" i="1"/>
  <c r="H215" i="1"/>
  <c r="M215" i="1"/>
  <c r="F216" i="1"/>
  <c r="H216" i="1"/>
  <c r="M216" i="1"/>
  <c r="F217" i="1"/>
  <c r="H217" i="1"/>
  <c r="M217" i="1"/>
  <c r="F218" i="1"/>
  <c r="H218" i="1"/>
  <c r="M218" i="1"/>
  <c r="F219" i="1"/>
  <c r="H219" i="1"/>
  <c r="M219" i="1"/>
  <c r="F220" i="1"/>
  <c r="H220" i="1"/>
  <c r="M220" i="1"/>
  <c r="F221" i="1"/>
  <c r="H221" i="1"/>
  <c r="M221" i="1"/>
  <c r="F222" i="1"/>
  <c r="H222" i="1"/>
  <c r="M222" i="1"/>
  <c r="F223" i="1"/>
  <c r="H223" i="1"/>
  <c r="M223" i="1"/>
  <c r="F224" i="1"/>
  <c r="H224" i="1"/>
  <c r="M224" i="1"/>
  <c r="F225" i="1"/>
  <c r="H225" i="1"/>
  <c r="M225" i="1"/>
  <c r="F226" i="1"/>
  <c r="H226" i="1"/>
  <c r="M226" i="1"/>
  <c r="F227" i="1"/>
  <c r="H227" i="1"/>
  <c r="M227" i="1"/>
  <c r="F228" i="1"/>
  <c r="H228" i="1"/>
  <c r="M228" i="1"/>
  <c r="F229" i="1"/>
  <c r="H229" i="1"/>
  <c r="M229" i="1"/>
  <c r="F230" i="1"/>
  <c r="H230" i="1"/>
  <c r="M230" i="1"/>
  <c r="F231" i="1"/>
  <c r="H231" i="1"/>
  <c r="M231" i="1"/>
  <c r="F232" i="1"/>
  <c r="H232" i="1"/>
  <c r="M232" i="1"/>
  <c r="F233" i="1"/>
  <c r="H233" i="1"/>
  <c r="M233" i="1"/>
  <c r="F234" i="1"/>
  <c r="H234" i="1"/>
  <c r="M234" i="1"/>
  <c r="F235" i="1"/>
  <c r="H235" i="1"/>
  <c r="M235" i="1"/>
  <c r="F236" i="1"/>
  <c r="H236" i="1"/>
  <c r="M236" i="1"/>
  <c r="F237" i="1"/>
  <c r="H237" i="1"/>
  <c r="M237" i="1"/>
  <c r="F238" i="1"/>
  <c r="H238" i="1"/>
  <c r="M238" i="1"/>
  <c r="F239" i="1"/>
  <c r="H239" i="1"/>
  <c r="M239" i="1"/>
  <c r="F240" i="1"/>
  <c r="H240" i="1"/>
  <c r="M240" i="1"/>
  <c r="F241" i="1"/>
  <c r="H241" i="1"/>
  <c r="M241" i="1"/>
  <c r="F242" i="1"/>
  <c r="H242" i="1"/>
  <c r="M242" i="1"/>
  <c r="F243" i="1"/>
  <c r="H243" i="1"/>
  <c r="M243" i="1"/>
  <c r="F244" i="1"/>
  <c r="H244" i="1"/>
  <c r="M244" i="1"/>
  <c r="F245" i="1"/>
  <c r="H245" i="1"/>
  <c r="M245" i="1"/>
  <c r="F246" i="1"/>
  <c r="H246" i="1"/>
  <c r="M246" i="1"/>
  <c r="F247" i="1"/>
  <c r="H247" i="1"/>
  <c r="M247" i="1"/>
  <c r="F248" i="1"/>
  <c r="H248" i="1"/>
  <c r="M248" i="1"/>
  <c r="F249" i="1"/>
  <c r="H249" i="1"/>
  <c r="M249" i="1"/>
  <c r="F250" i="1"/>
  <c r="H250" i="1"/>
  <c r="M250" i="1"/>
  <c r="F251" i="1"/>
  <c r="H251" i="1"/>
  <c r="M251" i="1"/>
  <c r="F252" i="1"/>
  <c r="H252" i="1"/>
  <c r="M252" i="1"/>
  <c r="F253" i="1"/>
  <c r="H253" i="1"/>
  <c r="M253" i="1"/>
  <c r="F254" i="1"/>
  <c r="H254" i="1"/>
  <c r="M254" i="1"/>
  <c r="F255" i="1"/>
  <c r="H255" i="1"/>
  <c r="M255" i="1"/>
  <c r="F256" i="1"/>
  <c r="H256" i="1"/>
  <c r="M256" i="1"/>
  <c r="F257" i="1"/>
  <c r="H257" i="1"/>
  <c r="M257" i="1"/>
  <c r="F258" i="1"/>
  <c r="H258" i="1"/>
  <c r="M258" i="1"/>
  <c r="F259" i="1"/>
  <c r="H259" i="1"/>
  <c r="M259" i="1"/>
  <c r="F260" i="1"/>
  <c r="H260" i="1"/>
  <c r="M260" i="1"/>
  <c r="F261" i="1"/>
  <c r="H261" i="1"/>
  <c r="M261" i="1"/>
  <c r="F262" i="1"/>
  <c r="H262" i="1"/>
  <c r="M262" i="1"/>
  <c r="F263" i="1"/>
  <c r="H263" i="1"/>
  <c r="M263" i="1"/>
  <c r="F264" i="1"/>
  <c r="H264" i="1"/>
  <c r="M264" i="1"/>
  <c r="F265" i="1"/>
  <c r="H265" i="1"/>
  <c r="M265" i="1"/>
  <c r="F266" i="1"/>
  <c r="H266" i="1"/>
  <c r="M266" i="1"/>
  <c r="F267" i="1"/>
  <c r="H267" i="1"/>
  <c r="M267" i="1"/>
  <c r="F268" i="1"/>
  <c r="H268" i="1"/>
  <c r="M268" i="1"/>
  <c r="F269" i="1"/>
  <c r="H269" i="1"/>
  <c r="M269" i="1"/>
  <c r="F270" i="1"/>
  <c r="H270" i="1"/>
  <c r="M270" i="1"/>
  <c r="F271" i="1"/>
  <c r="H271" i="1"/>
  <c r="M271" i="1"/>
  <c r="F272" i="1"/>
  <c r="H272" i="1"/>
  <c r="M272" i="1"/>
  <c r="F273" i="1"/>
  <c r="H273" i="1"/>
  <c r="M273" i="1"/>
  <c r="F274" i="1"/>
  <c r="H274" i="1"/>
  <c r="M274" i="1"/>
  <c r="F275" i="1"/>
  <c r="H275" i="1"/>
  <c r="M275" i="1"/>
  <c r="F276" i="1"/>
  <c r="H276" i="1"/>
  <c r="M276" i="1"/>
  <c r="F277" i="1"/>
  <c r="H277" i="1"/>
  <c r="M277" i="1"/>
  <c r="F278" i="1"/>
  <c r="H278" i="1"/>
  <c r="M278" i="1"/>
  <c r="F279" i="1"/>
  <c r="H279" i="1"/>
  <c r="M279" i="1"/>
  <c r="F280" i="1"/>
  <c r="H280" i="1"/>
  <c r="M280" i="1"/>
  <c r="F281" i="1"/>
  <c r="H281" i="1"/>
  <c r="M281" i="1"/>
  <c r="F282" i="1"/>
  <c r="H282" i="1"/>
  <c r="M282" i="1"/>
  <c r="F283" i="1"/>
  <c r="H283" i="1"/>
  <c r="M283" i="1"/>
  <c r="F284" i="1"/>
  <c r="H284" i="1"/>
  <c r="M284" i="1"/>
  <c r="F285" i="1"/>
  <c r="H285" i="1"/>
  <c r="M285" i="1"/>
  <c r="F286" i="1"/>
  <c r="H286" i="1"/>
  <c r="M286" i="1"/>
  <c r="F287" i="1"/>
  <c r="H287" i="1"/>
  <c r="M287" i="1"/>
  <c r="F288" i="1"/>
  <c r="H288" i="1"/>
  <c r="M288" i="1"/>
  <c r="F289" i="1"/>
  <c r="H289" i="1"/>
  <c r="M289" i="1"/>
  <c r="F290" i="1"/>
  <c r="H290" i="1"/>
  <c r="M290" i="1"/>
  <c r="F291" i="1"/>
  <c r="H291" i="1"/>
  <c r="M291" i="1"/>
  <c r="F292" i="1"/>
  <c r="H292" i="1"/>
  <c r="M292" i="1"/>
  <c r="F293" i="1"/>
  <c r="H293" i="1"/>
  <c r="M293" i="1"/>
  <c r="F294" i="1"/>
  <c r="H294" i="1"/>
  <c r="M294" i="1"/>
  <c r="F295" i="1"/>
  <c r="H295" i="1"/>
  <c r="M295" i="1"/>
  <c r="F296" i="1"/>
  <c r="H296" i="1"/>
  <c r="M296" i="1"/>
  <c r="F297" i="1"/>
  <c r="H297" i="1"/>
  <c r="M297" i="1"/>
  <c r="F298" i="1"/>
  <c r="H298" i="1"/>
  <c r="M298" i="1"/>
  <c r="F299" i="1"/>
  <c r="H299" i="1"/>
  <c r="M299" i="1"/>
  <c r="F300" i="1"/>
  <c r="H300" i="1"/>
  <c r="M300" i="1"/>
  <c r="F301" i="1"/>
  <c r="H301" i="1"/>
  <c r="M301" i="1"/>
  <c r="F302" i="1"/>
  <c r="H302" i="1"/>
  <c r="M302" i="1"/>
  <c r="F303" i="1"/>
  <c r="H303" i="1"/>
  <c r="M303" i="1"/>
  <c r="F304" i="1"/>
  <c r="H304" i="1"/>
  <c r="M304" i="1"/>
  <c r="F305" i="1"/>
  <c r="H305" i="1"/>
  <c r="M305" i="1"/>
  <c r="F306" i="1"/>
  <c r="H306" i="1"/>
  <c r="M306" i="1"/>
  <c r="F307" i="1"/>
  <c r="H307" i="1"/>
  <c r="M307" i="1"/>
  <c r="F308" i="1"/>
  <c r="H308" i="1"/>
  <c r="M308" i="1"/>
  <c r="F309" i="1"/>
  <c r="H309" i="1"/>
  <c r="M309" i="1"/>
  <c r="F310" i="1"/>
  <c r="H310" i="1"/>
  <c r="M310" i="1"/>
  <c r="F311" i="1"/>
  <c r="H311" i="1"/>
  <c r="M311" i="1"/>
  <c r="F312" i="1"/>
  <c r="H312" i="1"/>
  <c r="M312" i="1"/>
  <c r="F313" i="1"/>
  <c r="H313" i="1"/>
  <c r="M313" i="1"/>
  <c r="F314" i="1"/>
  <c r="H314" i="1"/>
  <c r="M314" i="1"/>
  <c r="F315" i="1"/>
  <c r="H315" i="1"/>
  <c r="M315" i="1"/>
  <c r="F316" i="1"/>
  <c r="H316" i="1"/>
  <c r="M316" i="1"/>
  <c r="F317" i="1"/>
  <c r="H317" i="1"/>
  <c r="M317" i="1"/>
  <c r="F318" i="1"/>
  <c r="H318" i="1"/>
  <c r="M318" i="1"/>
  <c r="F319" i="1"/>
  <c r="H319" i="1"/>
  <c r="M319" i="1"/>
  <c r="F320" i="1"/>
  <c r="H320" i="1"/>
  <c r="M320" i="1"/>
  <c r="F321" i="1"/>
  <c r="H321" i="1"/>
  <c r="M321" i="1"/>
  <c r="F322" i="1"/>
  <c r="H322" i="1"/>
  <c r="M322" i="1"/>
  <c r="F323" i="1"/>
  <c r="H323" i="1"/>
  <c r="M323" i="1"/>
  <c r="F324" i="1"/>
  <c r="H324" i="1"/>
  <c r="M324" i="1"/>
  <c r="F325" i="1"/>
  <c r="H325" i="1"/>
  <c r="M325" i="1"/>
  <c r="F326" i="1"/>
  <c r="H326" i="1"/>
  <c r="M326" i="1"/>
  <c r="F327" i="1"/>
  <c r="H327" i="1"/>
  <c r="M327" i="1"/>
  <c r="F328" i="1"/>
  <c r="H328" i="1"/>
  <c r="M328" i="1"/>
  <c r="F329" i="1"/>
  <c r="H329" i="1"/>
  <c r="M329" i="1"/>
  <c r="F330" i="1"/>
  <c r="H330" i="1"/>
  <c r="M330" i="1"/>
  <c r="F331" i="1"/>
  <c r="H331" i="1"/>
  <c r="M331" i="1"/>
  <c r="F332" i="1"/>
  <c r="H332" i="1"/>
  <c r="M332" i="1"/>
  <c r="F333" i="1"/>
  <c r="H333" i="1"/>
  <c r="M333" i="1"/>
  <c r="F334" i="1"/>
  <c r="H334" i="1"/>
  <c r="M334" i="1"/>
  <c r="F335" i="1"/>
  <c r="H335" i="1"/>
  <c r="M335" i="1"/>
  <c r="F336" i="1"/>
  <c r="H336" i="1"/>
  <c r="M336" i="1"/>
  <c r="F337" i="1"/>
  <c r="H337" i="1"/>
  <c r="M337" i="1"/>
  <c r="F338" i="1"/>
  <c r="H338" i="1"/>
  <c r="M338" i="1"/>
  <c r="F339" i="1"/>
  <c r="H339" i="1"/>
  <c r="M339" i="1"/>
  <c r="F340" i="1"/>
  <c r="H340" i="1"/>
  <c r="M340" i="1"/>
  <c r="F341" i="1"/>
  <c r="H341" i="1"/>
  <c r="M341" i="1"/>
  <c r="F342" i="1"/>
  <c r="H342" i="1"/>
  <c r="M342" i="1"/>
  <c r="F343" i="1"/>
  <c r="H343" i="1"/>
  <c r="M343" i="1"/>
  <c r="F344" i="1"/>
  <c r="H344" i="1"/>
  <c r="M344" i="1"/>
  <c r="F345" i="1"/>
  <c r="H345" i="1"/>
  <c r="M345" i="1"/>
  <c r="F346" i="1"/>
  <c r="H346" i="1"/>
  <c r="M346" i="1"/>
  <c r="F347" i="1"/>
  <c r="H347" i="1"/>
  <c r="M347" i="1"/>
  <c r="F348" i="1"/>
  <c r="H348" i="1"/>
  <c r="M348" i="1"/>
  <c r="F349" i="1"/>
  <c r="H349" i="1"/>
  <c r="M349" i="1"/>
  <c r="F350" i="1"/>
  <c r="H350" i="1"/>
  <c r="M350" i="1"/>
  <c r="F351" i="1"/>
  <c r="H351" i="1"/>
  <c r="M351" i="1"/>
  <c r="F352" i="1"/>
  <c r="H352" i="1"/>
  <c r="M352" i="1"/>
  <c r="F353" i="1"/>
  <c r="H353" i="1"/>
  <c r="M353" i="1"/>
  <c r="F354" i="1"/>
  <c r="H354" i="1"/>
  <c r="M354" i="1"/>
  <c r="F355" i="1"/>
  <c r="H355" i="1"/>
  <c r="M355" i="1"/>
  <c r="F356" i="1"/>
  <c r="H356" i="1"/>
  <c r="M356" i="1"/>
  <c r="F357" i="1"/>
  <c r="H357" i="1"/>
  <c r="M357" i="1"/>
  <c r="F358" i="1"/>
  <c r="H358" i="1"/>
  <c r="M358" i="1"/>
  <c r="F359" i="1"/>
  <c r="H359" i="1"/>
  <c r="M359" i="1"/>
  <c r="F360" i="1"/>
  <c r="H360" i="1"/>
  <c r="M360" i="1"/>
  <c r="F361" i="1"/>
  <c r="H361" i="1"/>
  <c r="M361" i="1"/>
  <c r="F362" i="1"/>
  <c r="H362" i="1"/>
  <c r="M362" i="1"/>
  <c r="F363" i="1"/>
  <c r="H363" i="1"/>
  <c r="M363" i="1"/>
  <c r="F364" i="1"/>
  <c r="H364" i="1"/>
  <c r="M364" i="1"/>
  <c r="F365" i="1"/>
  <c r="H365" i="1"/>
  <c r="M365" i="1"/>
  <c r="F366" i="1"/>
  <c r="H366" i="1"/>
  <c r="M366" i="1"/>
  <c r="F367" i="1"/>
  <c r="H367" i="1"/>
  <c r="M367" i="1"/>
  <c r="F368" i="1"/>
  <c r="H368" i="1"/>
  <c r="M368" i="1"/>
  <c r="F369" i="1"/>
  <c r="H369" i="1"/>
  <c r="M369" i="1"/>
  <c r="F370" i="1"/>
  <c r="H370" i="1"/>
  <c r="M370" i="1"/>
  <c r="F371" i="1"/>
  <c r="H371" i="1"/>
  <c r="M371" i="1"/>
  <c r="F372" i="1"/>
  <c r="H372" i="1"/>
  <c r="M372" i="1"/>
  <c r="F373" i="1"/>
  <c r="H373" i="1"/>
  <c r="M373" i="1"/>
  <c r="F374" i="1"/>
  <c r="H374" i="1"/>
  <c r="M374" i="1"/>
  <c r="F375" i="1"/>
  <c r="H375" i="1"/>
  <c r="M375" i="1"/>
  <c r="F376" i="1"/>
  <c r="H376" i="1"/>
  <c r="M376" i="1"/>
  <c r="F377" i="1"/>
  <c r="H377" i="1"/>
  <c r="M377" i="1"/>
  <c r="F378" i="1"/>
  <c r="H378" i="1"/>
  <c r="M378" i="1"/>
  <c r="F379" i="1"/>
  <c r="H379" i="1"/>
  <c r="M379" i="1"/>
  <c r="F380" i="1"/>
  <c r="H380" i="1"/>
  <c r="M380" i="1"/>
  <c r="F381" i="1"/>
  <c r="H381" i="1"/>
  <c r="M381" i="1"/>
  <c r="F382" i="1"/>
  <c r="H382" i="1"/>
  <c r="M382" i="1"/>
  <c r="F383" i="1"/>
  <c r="H383" i="1"/>
  <c r="M383" i="1"/>
  <c r="F384" i="1"/>
  <c r="H384" i="1"/>
  <c r="M384" i="1"/>
  <c r="F385" i="1"/>
  <c r="H385" i="1"/>
  <c r="M385" i="1"/>
  <c r="F386" i="1"/>
  <c r="H386" i="1"/>
  <c r="M386" i="1"/>
  <c r="F387" i="1"/>
  <c r="H387" i="1"/>
  <c r="M387" i="1"/>
  <c r="F388" i="1"/>
  <c r="H388" i="1"/>
  <c r="M388" i="1"/>
  <c r="F389" i="1"/>
  <c r="H389" i="1"/>
  <c r="M389" i="1"/>
  <c r="F390" i="1"/>
  <c r="H390" i="1"/>
  <c r="M390" i="1"/>
  <c r="F391" i="1"/>
  <c r="H391" i="1"/>
  <c r="M391" i="1"/>
  <c r="F392" i="1"/>
  <c r="H392" i="1"/>
  <c r="M392" i="1"/>
  <c r="F393" i="1"/>
  <c r="H393" i="1"/>
  <c r="M393" i="1"/>
  <c r="F394" i="1"/>
  <c r="H394" i="1"/>
  <c r="M394" i="1"/>
  <c r="F395" i="1"/>
  <c r="H395" i="1"/>
  <c r="M395" i="1"/>
  <c r="F396" i="1"/>
  <c r="H396" i="1"/>
  <c r="M396" i="1"/>
  <c r="F397" i="1"/>
  <c r="H397" i="1"/>
  <c r="M397" i="1"/>
  <c r="F398" i="1"/>
  <c r="H398" i="1"/>
  <c r="M398" i="1"/>
  <c r="F399" i="1"/>
  <c r="H399" i="1"/>
  <c r="M399" i="1"/>
  <c r="F400" i="1"/>
  <c r="H400" i="1"/>
  <c r="M400" i="1"/>
  <c r="F401" i="1"/>
  <c r="H401" i="1"/>
  <c r="M401" i="1"/>
  <c r="F402" i="1"/>
  <c r="H402" i="1"/>
  <c r="M402" i="1"/>
  <c r="F403" i="1"/>
  <c r="H403" i="1"/>
  <c r="M403" i="1"/>
  <c r="F404" i="1"/>
  <c r="H404" i="1"/>
  <c r="M404" i="1"/>
  <c r="F405" i="1"/>
  <c r="H405" i="1"/>
  <c r="M405" i="1"/>
  <c r="F406" i="1"/>
  <c r="H406" i="1"/>
  <c r="M406" i="1"/>
  <c r="F407" i="1"/>
  <c r="H407" i="1"/>
  <c r="M407" i="1"/>
  <c r="F408" i="1"/>
  <c r="H408" i="1"/>
  <c r="M408" i="1"/>
  <c r="F409" i="1"/>
  <c r="H409" i="1"/>
  <c r="M409" i="1"/>
  <c r="F410" i="1"/>
  <c r="H410" i="1"/>
  <c r="M410" i="1"/>
  <c r="F411" i="1"/>
  <c r="H411" i="1"/>
  <c r="M411" i="1"/>
  <c r="F412" i="1"/>
  <c r="H412" i="1"/>
  <c r="M412" i="1"/>
  <c r="F413" i="1"/>
  <c r="H413" i="1"/>
  <c r="M413" i="1"/>
  <c r="F414" i="1"/>
  <c r="H414" i="1"/>
  <c r="M414" i="1"/>
  <c r="F415" i="1"/>
  <c r="H415" i="1"/>
  <c r="M415" i="1"/>
  <c r="F416" i="1"/>
  <c r="H416" i="1"/>
  <c r="M416" i="1"/>
  <c r="F417" i="1"/>
  <c r="H417" i="1"/>
  <c r="M417" i="1"/>
  <c r="F418" i="1"/>
  <c r="H418" i="1"/>
  <c r="M418" i="1"/>
  <c r="F419" i="1"/>
  <c r="H419" i="1"/>
  <c r="M419" i="1"/>
  <c r="F420" i="1"/>
  <c r="H420" i="1"/>
  <c r="M420" i="1"/>
  <c r="F421" i="1"/>
  <c r="H421" i="1"/>
  <c r="M421" i="1"/>
  <c r="F422" i="1"/>
  <c r="H422" i="1"/>
  <c r="M422" i="1"/>
  <c r="F423" i="1"/>
  <c r="H423" i="1"/>
  <c r="M423" i="1"/>
  <c r="F424" i="1"/>
  <c r="H424" i="1"/>
  <c r="M424" i="1"/>
  <c r="F425" i="1"/>
  <c r="H425" i="1"/>
  <c r="M425" i="1"/>
  <c r="F426" i="1"/>
  <c r="H426" i="1"/>
  <c r="M426" i="1"/>
  <c r="F427" i="1"/>
  <c r="H427" i="1"/>
  <c r="M427" i="1"/>
  <c r="F428" i="1"/>
  <c r="H428" i="1"/>
  <c r="M428" i="1"/>
  <c r="F429" i="1"/>
  <c r="H429" i="1"/>
  <c r="M429" i="1"/>
  <c r="F430" i="1"/>
  <c r="H430" i="1"/>
  <c r="M430" i="1"/>
  <c r="F431" i="1"/>
  <c r="H431" i="1"/>
  <c r="M431" i="1"/>
  <c r="F432" i="1"/>
  <c r="H432" i="1"/>
  <c r="M432" i="1"/>
  <c r="F433" i="1"/>
  <c r="H433" i="1"/>
  <c r="M433" i="1"/>
  <c r="F434" i="1"/>
  <c r="H434" i="1"/>
  <c r="M434" i="1"/>
  <c r="F435" i="1"/>
  <c r="H435" i="1"/>
  <c r="M435" i="1"/>
  <c r="F436" i="1"/>
  <c r="H436" i="1"/>
  <c r="M436" i="1"/>
  <c r="F437" i="1"/>
  <c r="H437" i="1"/>
  <c r="M437" i="1"/>
  <c r="F438" i="1"/>
  <c r="H438" i="1"/>
  <c r="M438" i="1"/>
  <c r="F439" i="1"/>
  <c r="H439" i="1"/>
  <c r="M439" i="1"/>
  <c r="F440" i="1"/>
  <c r="H440" i="1"/>
  <c r="M440" i="1"/>
  <c r="F441" i="1"/>
  <c r="H441" i="1"/>
  <c r="M441" i="1"/>
  <c r="F442" i="1"/>
  <c r="H442" i="1"/>
  <c r="M442" i="1"/>
  <c r="F443" i="1"/>
  <c r="H443" i="1"/>
  <c r="M443" i="1"/>
  <c r="F444" i="1"/>
  <c r="H444" i="1"/>
  <c r="M444" i="1"/>
  <c r="F445" i="1"/>
  <c r="H445" i="1"/>
  <c r="M445" i="1"/>
  <c r="F446" i="1"/>
  <c r="H446" i="1"/>
  <c r="M446" i="1"/>
  <c r="F447" i="1"/>
  <c r="H447" i="1"/>
  <c r="M447" i="1"/>
  <c r="F448" i="1"/>
  <c r="H448" i="1"/>
  <c r="M448" i="1"/>
  <c r="F449" i="1"/>
  <c r="H449" i="1"/>
  <c r="M449" i="1"/>
  <c r="F450" i="1"/>
  <c r="H450" i="1"/>
  <c r="M450" i="1"/>
  <c r="F451" i="1"/>
  <c r="H451" i="1"/>
  <c r="M451" i="1"/>
  <c r="F452" i="1"/>
  <c r="H452" i="1"/>
  <c r="M452" i="1"/>
  <c r="F453" i="1"/>
  <c r="H453" i="1"/>
  <c r="M453" i="1"/>
  <c r="F454" i="1"/>
  <c r="H454" i="1"/>
  <c r="M454" i="1"/>
  <c r="F455" i="1"/>
  <c r="H455" i="1"/>
  <c r="M455" i="1"/>
  <c r="F456" i="1"/>
  <c r="H456" i="1"/>
  <c r="M456" i="1"/>
  <c r="F457" i="1"/>
  <c r="H457" i="1"/>
  <c r="M457" i="1"/>
  <c r="F458" i="1"/>
  <c r="H458" i="1"/>
  <c r="M458" i="1"/>
  <c r="F459" i="1"/>
  <c r="H459" i="1"/>
  <c r="M459" i="1"/>
  <c r="F460" i="1"/>
  <c r="H460" i="1"/>
  <c r="M460" i="1"/>
  <c r="F461" i="1"/>
  <c r="H461" i="1"/>
  <c r="M461" i="1"/>
  <c r="F462" i="1"/>
  <c r="H462" i="1"/>
  <c r="M462" i="1"/>
  <c r="F463" i="1"/>
  <c r="H463" i="1"/>
  <c r="M463" i="1"/>
  <c r="F464" i="1"/>
  <c r="H464" i="1"/>
  <c r="M464" i="1"/>
  <c r="F465" i="1"/>
  <c r="H465" i="1"/>
  <c r="M465" i="1"/>
  <c r="F466" i="1"/>
  <c r="H466" i="1"/>
  <c r="M466" i="1"/>
  <c r="F467" i="1"/>
  <c r="H467" i="1"/>
  <c r="M467" i="1"/>
  <c r="F468" i="1"/>
  <c r="H468" i="1"/>
  <c r="M468" i="1"/>
  <c r="F469" i="1"/>
  <c r="H469" i="1"/>
  <c r="M469" i="1"/>
  <c r="F470" i="1"/>
  <c r="H470" i="1"/>
  <c r="M470" i="1"/>
  <c r="F471" i="1"/>
  <c r="H471" i="1"/>
  <c r="M471" i="1"/>
  <c r="F472" i="1"/>
  <c r="H472" i="1"/>
  <c r="M472" i="1"/>
  <c r="F473" i="1"/>
  <c r="H473" i="1"/>
  <c r="M473" i="1"/>
  <c r="F474" i="1"/>
  <c r="H474" i="1"/>
  <c r="M474" i="1"/>
  <c r="F475" i="1"/>
  <c r="H475" i="1"/>
  <c r="M475" i="1"/>
  <c r="F476" i="1"/>
  <c r="H476" i="1"/>
  <c r="M476" i="1"/>
  <c r="F477" i="1"/>
  <c r="H477" i="1"/>
  <c r="M477" i="1"/>
  <c r="F478" i="1"/>
  <c r="H478" i="1"/>
  <c r="M478" i="1"/>
  <c r="F479" i="1"/>
  <c r="H479" i="1"/>
  <c r="M479" i="1"/>
  <c r="F480" i="1"/>
  <c r="H480" i="1"/>
  <c r="M480" i="1"/>
  <c r="F481" i="1"/>
  <c r="H481" i="1"/>
  <c r="M481" i="1"/>
  <c r="F482" i="1"/>
  <c r="H482" i="1"/>
  <c r="M482" i="1"/>
  <c r="F483" i="1"/>
  <c r="H483" i="1"/>
  <c r="M483" i="1"/>
  <c r="F484" i="1"/>
  <c r="H484" i="1"/>
  <c r="M484" i="1"/>
  <c r="F485" i="1"/>
  <c r="H485" i="1"/>
  <c r="M485" i="1"/>
  <c r="F486" i="1"/>
  <c r="H486" i="1"/>
  <c r="M486" i="1"/>
  <c r="F487" i="1"/>
  <c r="H487" i="1"/>
  <c r="M487" i="1"/>
  <c r="F488" i="1"/>
  <c r="H488" i="1"/>
  <c r="M488" i="1"/>
  <c r="F489" i="1"/>
  <c r="H489" i="1"/>
  <c r="M489" i="1"/>
  <c r="F490" i="1"/>
  <c r="H490" i="1"/>
  <c r="M490" i="1"/>
  <c r="F491" i="1"/>
  <c r="H491" i="1"/>
  <c r="M491" i="1"/>
  <c r="F492" i="1"/>
  <c r="H492" i="1"/>
  <c r="M492" i="1"/>
  <c r="F493" i="1"/>
  <c r="H493" i="1"/>
  <c r="M493" i="1"/>
  <c r="F494" i="1"/>
  <c r="H494" i="1"/>
  <c r="M494" i="1"/>
  <c r="F495" i="1"/>
  <c r="H495" i="1"/>
  <c r="M495" i="1"/>
  <c r="F496" i="1"/>
  <c r="H496" i="1"/>
  <c r="M496" i="1"/>
  <c r="F497" i="1"/>
  <c r="H497" i="1"/>
  <c r="M497" i="1"/>
  <c r="F498" i="1"/>
  <c r="H498" i="1"/>
  <c r="M498" i="1"/>
  <c r="F499" i="1"/>
  <c r="H499" i="1"/>
  <c r="M499" i="1"/>
  <c r="F500" i="1"/>
  <c r="H500" i="1"/>
  <c r="M500" i="1"/>
  <c r="F501" i="1"/>
  <c r="H501" i="1"/>
  <c r="M501" i="1"/>
  <c r="F502" i="1"/>
  <c r="H502" i="1"/>
  <c r="M502" i="1"/>
  <c r="F503" i="1"/>
  <c r="H503" i="1"/>
  <c r="M503" i="1"/>
  <c r="F504" i="1"/>
  <c r="H504" i="1"/>
  <c r="M504" i="1"/>
  <c r="F505" i="1"/>
  <c r="H505" i="1"/>
  <c r="M505" i="1"/>
  <c r="F506" i="1"/>
  <c r="H506" i="1"/>
  <c r="M506" i="1"/>
  <c r="F507" i="1"/>
  <c r="H507" i="1"/>
  <c r="M507" i="1"/>
  <c r="F508" i="1"/>
  <c r="H508" i="1"/>
  <c r="M508" i="1"/>
  <c r="F509" i="1"/>
  <c r="H509" i="1"/>
  <c r="M509" i="1"/>
  <c r="F510" i="1"/>
  <c r="H510" i="1"/>
  <c r="M510" i="1"/>
  <c r="F511" i="1"/>
  <c r="H511" i="1"/>
  <c r="M511" i="1"/>
  <c r="F512" i="1"/>
  <c r="H512" i="1"/>
  <c r="M512" i="1"/>
  <c r="F513" i="1"/>
  <c r="H513" i="1"/>
  <c r="M513" i="1"/>
  <c r="F514" i="1"/>
  <c r="H514" i="1"/>
  <c r="M514" i="1"/>
  <c r="F515" i="1"/>
  <c r="H515" i="1"/>
  <c r="M515" i="1"/>
  <c r="F516" i="1"/>
  <c r="H516" i="1"/>
  <c r="M516" i="1"/>
  <c r="F517" i="1"/>
  <c r="H517" i="1"/>
  <c r="M517" i="1"/>
  <c r="F518" i="1"/>
  <c r="H518" i="1"/>
  <c r="M518" i="1"/>
  <c r="F519" i="1"/>
  <c r="H519" i="1"/>
  <c r="M519" i="1"/>
  <c r="F520" i="1"/>
  <c r="H520" i="1"/>
  <c r="M520" i="1"/>
  <c r="F521" i="1"/>
  <c r="H521" i="1"/>
  <c r="M521" i="1"/>
  <c r="F522" i="1"/>
  <c r="H522" i="1"/>
  <c r="M522" i="1"/>
  <c r="F523" i="1"/>
  <c r="H523" i="1"/>
  <c r="M523" i="1"/>
  <c r="F524" i="1"/>
  <c r="H524" i="1"/>
  <c r="M524" i="1"/>
  <c r="F525" i="1"/>
  <c r="H525" i="1"/>
  <c r="M525" i="1"/>
  <c r="F526" i="1"/>
  <c r="H526" i="1"/>
  <c r="M526" i="1"/>
  <c r="F527" i="1"/>
  <c r="H527" i="1"/>
  <c r="M527" i="1"/>
  <c r="F528" i="1"/>
  <c r="H528" i="1"/>
  <c r="M528" i="1"/>
  <c r="F529" i="1"/>
  <c r="H529" i="1"/>
  <c r="M529" i="1"/>
  <c r="F530" i="1"/>
  <c r="H530" i="1"/>
  <c r="M530" i="1"/>
  <c r="F531" i="1"/>
  <c r="H531" i="1"/>
  <c r="M531" i="1"/>
  <c r="F532" i="1"/>
  <c r="H532" i="1"/>
  <c r="M532" i="1"/>
  <c r="F533" i="1"/>
  <c r="H533" i="1"/>
  <c r="M533" i="1"/>
  <c r="F534" i="1"/>
  <c r="H534" i="1"/>
  <c r="M534" i="1"/>
  <c r="F535" i="1"/>
  <c r="H535" i="1"/>
  <c r="M535" i="1"/>
  <c r="F536" i="1"/>
  <c r="H536" i="1"/>
  <c r="M536" i="1"/>
  <c r="F537" i="1"/>
  <c r="H537" i="1"/>
  <c r="M537" i="1"/>
  <c r="F538" i="1"/>
  <c r="H538" i="1"/>
  <c r="M538" i="1"/>
  <c r="F539" i="1"/>
  <c r="H539" i="1"/>
  <c r="M539" i="1"/>
  <c r="F540" i="1"/>
  <c r="H540" i="1"/>
  <c r="M540" i="1"/>
  <c r="F541" i="1"/>
  <c r="H541" i="1"/>
  <c r="M541" i="1"/>
  <c r="F542" i="1"/>
  <c r="H542" i="1"/>
  <c r="M542" i="1"/>
  <c r="F543" i="1"/>
  <c r="H543" i="1"/>
  <c r="M543" i="1"/>
  <c r="F544" i="1"/>
  <c r="H544" i="1"/>
  <c r="M544" i="1"/>
  <c r="F545" i="1"/>
  <c r="H545" i="1"/>
  <c r="M545" i="1"/>
  <c r="F546" i="1"/>
  <c r="H546" i="1"/>
  <c r="M546" i="1"/>
  <c r="F547" i="1"/>
  <c r="H547" i="1"/>
  <c r="M547" i="1"/>
  <c r="F548" i="1"/>
  <c r="H548" i="1"/>
  <c r="M548" i="1"/>
  <c r="F549" i="1"/>
  <c r="H549" i="1"/>
  <c r="M549" i="1"/>
  <c r="F550" i="1"/>
  <c r="H550" i="1"/>
  <c r="M550" i="1"/>
  <c r="F551" i="1"/>
  <c r="H551" i="1"/>
  <c r="M551" i="1"/>
  <c r="F552" i="1"/>
  <c r="H552" i="1"/>
  <c r="M552" i="1"/>
  <c r="F553" i="1"/>
  <c r="H553" i="1"/>
  <c r="M553" i="1"/>
  <c r="F554" i="1"/>
  <c r="H554" i="1"/>
  <c r="M554" i="1"/>
  <c r="F555" i="1"/>
  <c r="H555" i="1"/>
  <c r="M555" i="1"/>
  <c r="F556" i="1"/>
  <c r="H556" i="1"/>
  <c r="M556" i="1"/>
  <c r="F557" i="1"/>
  <c r="H557" i="1"/>
  <c r="M557" i="1"/>
  <c r="F558" i="1"/>
  <c r="H558" i="1"/>
  <c r="M558" i="1"/>
  <c r="F559" i="1"/>
  <c r="H559" i="1"/>
  <c r="M559" i="1"/>
  <c r="F560" i="1"/>
  <c r="H560" i="1"/>
  <c r="M560" i="1"/>
  <c r="F561" i="1"/>
  <c r="H561" i="1"/>
  <c r="M561" i="1"/>
  <c r="F562" i="1"/>
  <c r="H562" i="1"/>
  <c r="M562" i="1"/>
  <c r="F563" i="1"/>
  <c r="H563" i="1"/>
  <c r="M563" i="1"/>
  <c r="F564" i="1"/>
  <c r="H564" i="1"/>
  <c r="M564" i="1"/>
  <c r="F565" i="1"/>
  <c r="H565" i="1"/>
  <c r="M565" i="1"/>
  <c r="F566" i="1"/>
  <c r="H566" i="1"/>
  <c r="M566" i="1"/>
  <c r="F567" i="1"/>
  <c r="H567" i="1"/>
  <c r="M567" i="1"/>
  <c r="F568" i="1"/>
  <c r="H568" i="1"/>
  <c r="M568" i="1"/>
  <c r="F569" i="1"/>
  <c r="H569" i="1"/>
  <c r="M569" i="1"/>
  <c r="F570" i="1"/>
  <c r="H570" i="1"/>
  <c r="M570" i="1"/>
  <c r="F571" i="1"/>
  <c r="H571" i="1"/>
  <c r="M571" i="1"/>
  <c r="F572" i="1"/>
  <c r="H572" i="1"/>
  <c r="M572" i="1"/>
  <c r="F573" i="1"/>
  <c r="H573" i="1"/>
  <c r="M573" i="1"/>
  <c r="F574" i="1"/>
  <c r="H574" i="1"/>
  <c r="M574" i="1"/>
  <c r="F575" i="1"/>
  <c r="H575" i="1"/>
  <c r="M575" i="1"/>
  <c r="F576" i="1"/>
  <c r="H576" i="1"/>
  <c r="M576" i="1"/>
  <c r="F577" i="1"/>
  <c r="H577" i="1"/>
  <c r="M577" i="1"/>
  <c r="F578" i="1"/>
  <c r="H578" i="1"/>
  <c r="M578" i="1"/>
  <c r="F579" i="1"/>
  <c r="H579" i="1"/>
  <c r="M579" i="1"/>
  <c r="F580" i="1"/>
  <c r="H580" i="1"/>
  <c r="M580" i="1"/>
  <c r="F581" i="1"/>
  <c r="H581" i="1"/>
  <c r="M581" i="1"/>
  <c r="F582" i="1"/>
  <c r="H582" i="1"/>
  <c r="M582" i="1"/>
  <c r="F583" i="1"/>
  <c r="H583" i="1"/>
  <c r="M583" i="1"/>
  <c r="F584" i="1"/>
  <c r="H584" i="1"/>
  <c r="M584" i="1"/>
  <c r="F585" i="1"/>
  <c r="H585" i="1"/>
  <c r="M585" i="1"/>
  <c r="F586" i="1"/>
  <c r="H586" i="1"/>
  <c r="M586" i="1"/>
  <c r="F587" i="1"/>
  <c r="H587" i="1"/>
  <c r="M587" i="1"/>
  <c r="F588" i="1"/>
  <c r="H588" i="1"/>
  <c r="M588" i="1"/>
  <c r="F589" i="1"/>
  <c r="H589" i="1"/>
  <c r="M589" i="1"/>
  <c r="F590" i="1"/>
  <c r="H590" i="1"/>
  <c r="M590" i="1"/>
  <c r="F591" i="1"/>
  <c r="H591" i="1"/>
  <c r="M591" i="1"/>
  <c r="F592" i="1"/>
  <c r="H592" i="1"/>
  <c r="M592" i="1"/>
  <c r="F593" i="1"/>
  <c r="H593" i="1"/>
  <c r="M593" i="1"/>
  <c r="F594" i="1"/>
  <c r="H594" i="1"/>
  <c r="M594" i="1"/>
  <c r="F595" i="1"/>
  <c r="H595" i="1"/>
  <c r="M595" i="1"/>
  <c r="F596" i="1"/>
  <c r="H596" i="1"/>
  <c r="M596" i="1"/>
  <c r="F597" i="1"/>
  <c r="H597" i="1"/>
  <c r="M597" i="1"/>
  <c r="F598" i="1"/>
  <c r="H598" i="1"/>
  <c r="M598" i="1"/>
  <c r="F599" i="1"/>
  <c r="H599" i="1"/>
  <c r="M599" i="1"/>
  <c r="F600" i="1"/>
  <c r="H600" i="1"/>
  <c r="M600" i="1"/>
  <c r="F601" i="1"/>
  <c r="H601" i="1"/>
  <c r="M601" i="1"/>
  <c r="F602" i="1"/>
  <c r="H602" i="1"/>
  <c r="M602" i="1"/>
  <c r="F603" i="1"/>
  <c r="H603" i="1"/>
  <c r="M603" i="1"/>
  <c r="F604" i="1"/>
  <c r="H604" i="1"/>
  <c r="M604" i="1"/>
  <c r="F605" i="1"/>
  <c r="H605" i="1"/>
  <c r="M605" i="1"/>
  <c r="F606" i="1"/>
  <c r="H606" i="1"/>
  <c r="M606" i="1"/>
  <c r="F607" i="1"/>
  <c r="H607" i="1"/>
  <c r="M607" i="1"/>
  <c r="F608" i="1"/>
  <c r="H608" i="1"/>
  <c r="M608" i="1"/>
  <c r="F609" i="1"/>
  <c r="H609" i="1"/>
  <c r="M609" i="1"/>
  <c r="F610" i="1"/>
  <c r="H610" i="1"/>
  <c r="M610" i="1"/>
  <c r="F611" i="1"/>
  <c r="H611" i="1"/>
  <c r="M611" i="1"/>
  <c r="F612" i="1"/>
  <c r="H612" i="1"/>
  <c r="M612" i="1"/>
  <c r="F613" i="1"/>
  <c r="H613" i="1"/>
  <c r="M613" i="1"/>
  <c r="F614" i="1"/>
  <c r="H614" i="1"/>
  <c r="M614" i="1"/>
  <c r="F615" i="1"/>
  <c r="H615" i="1"/>
  <c r="M615" i="1"/>
  <c r="F616" i="1"/>
  <c r="H616" i="1"/>
  <c r="M616" i="1"/>
  <c r="F617" i="1"/>
  <c r="H617" i="1"/>
  <c r="M617" i="1"/>
  <c r="F618" i="1"/>
  <c r="H618" i="1"/>
  <c r="M618" i="1"/>
  <c r="F619" i="1"/>
  <c r="H619" i="1"/>
  <c r="M619" i="1"/>
  <c r="F620" i="1"/>
  <c r="H620" i="1"/>
  <c r="M620" i="1"/>
  <c r="F621" i="1"/>
  <c r="H621" i="1"/>
  <c r="M621" i="1"/>
  <c r="F622" i="1"/>
  <c r="H622" i="1"/>
  <c r="M622" i="1"/>
  <c r="F623" i="1"/>
  <c r="H623" i="1"/>
  <c r="M623" i="1"/>
  <c r="F624" i="1"/>
  <c r="H624" i="1"/>
  <c r="M624" i="1"/>
  <c r="F625" i="1"/>
  <c r="H625" i="1"/>
  <c r="M625" i="1"/>
  <c r="F626" i="1"/>
  <c r="H626" i="1"/>
  <c r="M626" i="1"/>
  <c r="F627" i="1"/>
  <c r="H627" i="1"/>
  <c r="M627" i="1"/>
  <c r="F628" i="1"/>
  <c r="H628" i="1"/>
  <c r="M628" i="1"/>
  <c r="F629" i="1"/>
  <c r="H629" i="1"/>
  <c r="M629" i="1"/>
  <c r="F630" i="1"/>
  <c r="H630" i="1"/>
  <c r="M630" i="1"/>
  <c r="F631" i="1"/>
  <c r="H631" i="1"/>
  <c r="M631" i="1"/>
  <c r="F632" i="1"/>
  <c r="H632" i="1"/>
  <c r="M632" i="1"/>
  <c r="F633" i="1"/>
  <c r="H633" i="1"/>
  <c r="M633" i="1"/>
  <c r="F634" i="1"/>
  <c r="H634" i="1"/>
  <c r="M634" i="1"/>
  <c r="F635" i="1"/>
  <c r="H635" i="1"/>
  <c r="M635" i="1"/>
  <c r="F636" i="1"/>
  <c r="H636" i="1"/>
  <c r="M636" i="1"/>
  <c r="F637" i="1"/>
  <c r="H637" i="1"/>
  <c r="M637" i="1"/>
  <c r="F638" i="1"/>
  <c r="H638" i="1"/>
  <c r="M638" i="1"/>
  <c r="F639" i="1"/>
  <c r="H639" i="1"/>
  <c r="M639" i="1"/>
  <c r="F640" i="1"/>
  <c r="H640" i="1"/>
  <c r="M640" i="1"/>
  <c r="F641" i="1"/>
  <c r="H641" i="1"/>
  <c r="M641" i="1"/>
  <c r="F642" i="1"/>
  <c r="H642" i="1"/>
  <c r="M642" i="1"/>
  <c r="F643" i="1"/>
  <c r="H643" i="1"/>
  <c r="M643" i="1"/>
  <c r="F644" i="1"/>
  <c r="H644" i="1"/>
  <c r="M644" i="1"/>
  <c r="F645" i="1"/>
  <c r="H645" i="1"/>
  <c r="M645" i="1"/>
  <c r="F646" i="1"/>
  <c r="H646" i="1"/>
  <c r="M646" i="1"/>
  <c r="F647" i="1"/>
  <c r="H647" i="1"/>
  <c r="M647" i="1"/>
  <c r="F648" i="1"/>
  <c r="H648" i="1"/>
  <c r="M648" i="1"/>
  <c r="F649" i="1"/>
  <c r="H649" i="1"/>
  <c r="M649" i="1"/>
  <c r="F650" i="1"/>
  <c r="H650" i="1"/>
  <c r="M650" i="1"/>
  <c r="F651" i="1"/>
  <c r="H651" i="1"/>
  <c r="M651" i="1"/>
  <c r="F652" i="1"/>
  <c r="H652" i="1"/>
  <c r="M652" i="1"/>
  <c r="F653" i="1"/>
  <c r="H653" i="1"/>
  <c r="M653" i="1"/>
  <c r="F654" i="1"/>
  <c r="H654" i="1"/>
  <c r="M654" i="1"/>
  <c r="F655" i="1"/>
  <c r="H655" i="1"/>
  <c r="M655" i="1"/>
  <c r="F656" i="1"/>
  <c r="H656" i="1"/>
  <c r="M656" i="1"/>
  <c r="F657" i="1"/>
  <c r="H657" i="1"/>
  <c r="M657" i="1"/>
  <c r="F658" i="1"/>
  <c r="H658" i="1"/>
  <c r="M658" i="1"/>
  <c r="F659" i="1"/>
  <c r="H659" i="1"/>
  <c r="M659" i="1"/>
  <c r="F660" i="1"/>
  <c r="H660" i="1"/>
  <c r="M660" i="1"/>
  <c r="F661" i="1"/>
  <c r="H661" i="1"/>
  <c r="M661" i="1"/>
  <c r="F662" i="1"/>
  <c r="H662" i="1"/>
  <c r="M662" i="1"/>
  <c r="F663" i="1"/>
  <c r="H663" i="1"/>
  <c r="M663" i="1"/>
  <c r="F664" i="1"/>
  <c r="H664" i="1"/>
  <c r="M664" i="1"/>
  <c r="F665" i="1"/>
  <c r="H665" i="1"/>
  <c r="M665" i="1"/>
  <c r="F666" i="1"/>
  <c r="H666" i="1"/>
  <c r="M666" i="1"/>
  <c r="F667" i="1"/>
  <c r="H667" i="1"/>
  <c r="M667" i="1"/>
  <c r="F668" i="1"/>
  <c r="H668" i="1"/>
  <c r="M668" i="1"/>
  <c r="F669" i="1"/>
  <c r="H669" i="1"/>
  <c r="M669" i="1"/>
  <c r="F670" i="1"/>
  <c r="H670" i="1"/>
  <c r="M670" i="1"/>
  <c r="F671" i="1"/>
  <c r="H671" i="1"/>
  <c r="M671" i="1"/>
  <c r="F672" i="1"/>
  <c r="H672" i="1"/>
  <c r="M672" i="1"/>
  <c r="F673" i="1"/>
  <c r="H673" i="1"/>
  <c r="M673" i="1"/>
  <c r="F674" i="1"/>
  <c r="H674" i="1"/>
  <c r="M674" i="1"/>
  <c r="F675" i="1"/>
  <c r="H675" i="1"/>
  <c r="M675" i="1"/>
  <c r="F676" i="1"/>
  <c r="H676" i="1"/>
  <c r="M676" i="1"/>
  <c r="F677" i="1"/>
  <c r="H677" i="1"/>
  <c r="M677" i="1"/>
  <c r="F678" i="1"/>
  <c r="H678" i="1"/>
  <c r="M678" i="1"/>
  <c r="F679" i="1"/>
  <c r="H679" i="1"/>
  <c r="M679" i="1"/>
  <c r="F680" i="1"/>
  <c r="H680" i="1"/>
  <c r="M680" i="1"/>
  <c r="F681" i="1"/>
  <c r="H681" i="1"/>
  <c r="M681" i="1"/>
  <c r="F682" i="1"/>
  <c r="H682" i="1"/>
  <c r="M682" i="1"/>
  <c r="F683" i="1"/>
  <c r="H683" i="1"/>
  <c r="M683" i="1"/>
  <c r="F684" i="1"/>
  <c r="H684" i="1"/>
  <c r="M684" i="1"/>
  <c r="F685" i="1"/>
  <c r="H685" i="1"/>
  <c r="M685" i="1"/>
  <c r="F686" i="1"/>
  <c r="H686" i="1"/>
  <c r="M686" i="1"/>
  <c r="F687" i="1"/>
  <c r="H687" i="1"/>
  <c r="M687" i="1"/>
  <c r="F688" i="1"/>
  <c r="H688" i="1"/>
  <c r="M688" i="1"/>
  <c r="F689" i="1"/>
  <c r="H689" i="1"/>
  <c r="M689" i="1"/>
  <c r="F690" i="1"/>
  <c r="H690" i="1"/>
  <c r="M690" i="1"/>
  <c r="F691" i="1"/>
  <c r="H691" i="1"/>
  <c r="M691" i="1"/>
  <c r="F692" i="1"/>
  <c r="H692" i="1"/>
  <c r="M692" i="1"/>
  <c r="F693" i="1"/>
  <c r="H693" i="1"/>
  <c r="M693" i="1"/>
  <c r="F694" i="1"/>
  <c r="H694" i="1"/>
  <c r="M694" i="1"/>
  <c r="F695" i="1"/>
  <c r="H695" i="1"/>
  <c r="M695" i="1"/>
  <c r="F696" i="1"/>
  <c r="H696" i="1"/>
  <c r="M696" i="1"/>
  <c r="F697" i="1"/>
  <c r="H697" i="1"/>
  <c r="M697" i="1"/>
  <c r="F698" i="1"/>
  <c r="H698" i="1"/>
  <c r="M698" i="1"/>
  <c r="F699" i="1"/>
  <c r="H699" i="1"/>
  <c r="M699" i="1"/>
  <c r="F700" i="1"/>
  <c r="H700" i="1"/>
  <c r="M700" i="1"/>
  <c r="F701" i="1"/>
  <c r="H701" i="1"/>
  <c r="M701" i="1"/>
  <c r="F702" i="1"/>
  <c r="H702" i="1"/>
  <c r="M702" i="1"/>
  <c r="F703" i="1"/>
  <c r="H703" i="1"/>
  <c r="M703" i="1"/>
  <c r="F704" i="1"/>
  <c r="H704" i="1"/>
  <c r="M704" i="1"/>
  <c r="F705" i="1"/>
  <c r="H705" i="1"/>
  <c r="M705" i="1"/>
  <c r="F706" i="1"/>
  <c r="H706" i="1"/>
  <c r="M706" i="1"/>
  <c r="F707" i="1"/>
  <c r="H707" i="1"/>
  <c r="M707" i="1"/>
  <c r="F708" i="1"/>
  <c r="H708" i="1"/>
  <c r="M708" i="1"/>
  <c r="F709" i="1"/>
  <c r="H709" i="1"/>
  <c r="M709" i="1"/>
  <c r="F710" i="1"/>
  <c r="H710" i="1"/>
  <c r="M710" i="1"/>
  <c r="F711" i="1"/>
  <c r="H711" i="1"/>
  <c r="M711" i="1"/>
  <c r="F712" i="1"/>
  <c r="H712" i="1"/>
  <c r="M712" i="1"/>
  <c r="F713" i="1"/>
  <c r="H713" i="1"/>
  <c r="M713" i="1"/>
  <c r="F714" i="1"/>
  <c r="H714" i="1"/>
  <c r="M714" i="1"/>
  <c r="F715" i="1"/>
  <c r="H715" i="1"/>
  <c r="M715" i="1"/>
  <c r="F716" i="1"/>
  <c r="H716" i="1"/>
  <c r="M716" i="1"/>
  <c r="F717" i="1"/>
  <c r="H717" i="1"/>
  <c r="M717" i="1"/>
  <c r="F718" i="1"/>
  <c r="H718" i="1"/>
  <c r="M718" i="1"/>
  <c r="F719" i="1"/>
  <c r="H719" i="1"/>
  <c r="M719" i="1"/>
  <c r="F720" i="1"/>
  <c r="H720" i="1"/>
  <c r="M720" i="1"/>
  <c r="F721" i="1"/>
  <c r="H721" i="1"/>
  <c r="M721" i="1"/>
  <c r="F722" i="1"/>
  <c r="H722" i="1"/>
  <c r="M722" i="1"/>
  <c r="F723" i="1"/>
  <c r="H723" i="1"/>
  <c r="M723" i="1"/>
  <c r="F724" i="1"/>
  <c r="H724" i="1"/>
  <c r="M724" i="1"/>
  <c r="F725" i="1"/>
  <c r="H725" i="1"/>
  <c r="M725" i="1"/>
  <c r="F726" i="1"/>
  <c r="H726" i="1"/>
  <c r="M726" i="1"/>
  <c r="F727" i="1"/>
  <c r="H727" i="1"/>
  <c r="M727" i="1"/>
  <c r="F728" i="1"/>
  <c r="H728" i="1"/>
  <c r="M728" i="1"/>
  <c r="F729" i="1"/>
  <c r="H729" i="1"/>
  <c r="M729" i="1"/>
  <c r="F730" i="1"/>
  <c r="H730" i="1"/>
  <c r="M730" i="1"/>
  <c r="F731" i="1"/>
  <c r="H731" i="1"/>
  <c r="M731" i="1"/>
  <c r="F732" i="1"/>
  <c r="H732" i="1"/>
  <c r="M732" i="1"/>
  <c r="F733" i="1"/>
  <c r="H733" i="1"/>
  <c r="M733" i="1"/>
  <c r="F734" i="1"/>
  <c r="H734" i="1"/>
  <c r="M734" i="1"/>
  <c r="F735" i="1"/>
  <c r="H735" i="1"/>
  <c r="M735" i="1"/>
  <c r="F736" i="1"/>
  <c r="H736" i="1"/>
  <c r="M736" i="1"/>
  <c r="F737" i="1"/>
  <c r="H737" i="1"/>
  <c r="M737" i="1"/>
  <c r="F738" i="1"/>
  <c r="H738" i="1"/>
  <c r="M738" i="1"/>
  <c r="F739" i="1"/>
  <c r="H739" i="1"/>
  <c r="M739" i="1"/>
  <c r="F740" i="1"/>
  <c r="H740" i="1"/>
  <c r="M740" i="1"/>
  <c r="F741" i="1"/>
  <c r="H741" i="1"/>
  <c r="M741" i="1"/>
  <c r="F742" i="1"/>
  <c r="H742" i="1"/>
  <c r="M742" i="1"/>
  <c r="F743" i="1"/>
  <c r="H743" i="1"/>
  <c r="M743" i="1"/>
  <c r="F744" i="1"/>
  <c r="H744" i="1"/>
  <c r="M744" i="1"/>
  <c r="F745" i="1"/>
  <c r="H745" i="1"/>
  <c r="M745" i="1"/>
  <c r="F746" i="1"/>
  <c r="H746" i="1"/>
  <c r="M746" i="1"/>
  <c r="F747" i="1"/>
  <c r="H747" i="1"/>
  <c r="M747" i="1"/>
  <c r="F748" i="1"/>
  <c r="H748" i="1"/>
  <c r="M748" i="1"/>
  <c r="F749" i="1"/>
  <c r="H749" i="1"/>
  <c r="M749" i="1"/>
  <c r="F750" i="1"/>
  <c r="H750" i="1"/>
  <c r="M750" i="1"/>
  <c r="F751" i="1"/>
  <c r="H751" i="1"/>
  <c r="M751" i="1"/>
  <c r="F752" i="1"/>
  <c r="H752" i="1"/>
  <c r="M752" i="1"/>
  <c r="F753" i="1"/>
  <c r="H753" i="1"/>
  <c r="M753" i="1"/>
  <c r="F754" i="1"/>
  <c r="H754" i="1"/>
  <c r="M754" i="1"/>
  <c r="F755" i="1"/>
  <c r="H755" i="1"/>
  <c r="M755" i="1"/>
  <c r="F756" i="1"/>
  <c r="H756" i="1"/>
  <c r="M756" i="1"/>
  <c r="F757" i="1"/>
  <c r="H757" i="1"/>
  <c r="M757" i="1"/>
  <c r="F758" i="1"/>
  <c r="H758" i="1"/>
  <c r="M758" i="1"/>
  <c r="F759" i="1"/>
  <c r="H759" i="1"/>
  <c r="M759" i="1"/>
  <c r="F760" i="1"/>
  <c r="H760" i="1"/>
  <c r="M760" i="1"/>
  <c r="F761" i="1"/>
  <c r="H761" i="1"/>
  <c r="M761" i="1"/>
  <c r="F762" i="1"/>
  <c r="H762" i="1"/>
  <c r="M762" i="1"/>
  <c r="F763" i="1"/>
  <c r="H763" i="1"/>
  <c r="M763" i="1"/>
  <c r="F764" i="1"/>
  <c r="H764" i="1"/>
  <c r="M764" i="1"/>
  <c r="F765" i="1"/>
  <c r="H765" i="1"/>
  <c r="M765" i="1"/>
  <c r="F766" i="1"/>
  <c r="H766" i="1"/>
  <c r="M766" i="1"/>
  <c r="F767" i="1"/>
  <c r="H767" i="1"/>
  <c r="M767" i="1"/>
  <c r="F768" i="1"/>
  <c r="H768" i="1"/>
  <c r="M768" i="1"/>
  <c r="F769" i="1"/>
  <c r="H769" i="1"/>
  <c r="M769" i="1"/>
  <c r="F770" i="1"/>
  <c r="H770" i="1"/>
  <c r="M770" i="1"/>
  <c r="F771" i="1"/>
  <c r="H771" i="1"/>
  <c r="M771" i="1"/>
  <c r="F772" i="1"/>
  <c r="H772" i="1"/>
  <c r="M772" i="1"/>
  <c r="F773" i="1"/>
  <c r="H773" i="1"/>
  <c r="M773" i="1"/>
  <c r="F774" i="1"/>
  <c r="H774" i="1"/>
  <c r="M774" i="1"/>
  <c r="F775" i="1"/>
  <c r="H775" i="1"/>
  <c r="M775" i="1"/>
  <c r="F776" i="1"/>
  <c r="H776" i="1"/>
  <c r="M776" i="1"/>
  <c r="F777" i="1"/>
  <c r="H777" i="1"/>
  <c r="M777" i="1"/>
  <c r="F778" i="1"/>
  <c r="H778" i="1"/>
  <c r="M778" i="1"/>
  <c r="F779" i="1"/>
  <c r="H779" i="1"/>
  <c r="M779" i="1"/>
  <c r="F780" i="1"/>
  <c r="H780" i="1"/>
  <c r="M780" i="1"/>
  <c r="F781" i="1"/>
  <c r="H781" i="1"/>
  <c r="M781" i="1"/>
  <c r="F782" i="1"/>
  <c r="H782" i="1"/>
  <c r="M782" i="1"/>
  <c r="F783" i="1"/>
  <c r="H783" i="1"/>
  <c r="M783" i="1"/>
  <c r="F784" i="1"/>
  <c r="H784" i="1"/>
  <c r="M784" i="1"/>
  <c r="F785" i="1"/>
  <c r="H785" i="1"/>
  <c r="M785" i="1"/>
  <c r="F786" i="1"/>
  <c r="H786" i="1"/>
  <c r="M786" i="1"/>
  <c r="F787" i="1"/>
  <c r="H787" i="1"/>
  <c r="M787" i="1"/>
  <c r="F788" i="1"/>
  <c r="H788" i="1"/>
  <c r="M788" i="1"/>
  <c r="F789" i="1"/>
  <c r="H789" i="1"/>
  <c r="M789" i="1"/>
  <c r="F790" i="1"/>
  <c r="H790" i="1"/>
  <c r="M790" i="1"/>
  <c r="F791" i="1"/>
  <c r="H791" i="1"/>
  <c r="M791" i="1"/>
  <c r="F792" i="1"/>
  <c r="H792" i="1"/>
  <c r="M792" i="1"/>
  <c r="F793" i="1"/>
  <c r="H793" i="1"/>
  <c r="M793" i="1"/>
  <c r="F794" i="1"/>
  <c r="H794" i="1"/>
  <c r="M794" i="1"/>
  <c r="F795" i="1"/>
  <c r="H795" i="1"/>
  <c r="M795" i="1"/>
  <c r="F796" i="1"/>
  <c r="H796" i="1"/>
  <c r="M796" i="1"/>
  <c r="F797" i="1"/>
  <c r="H797" i="1"/>
  <c r="M797" i="1"/>
  <c r="F798" i="1"/>
  <c r="H798" i="1"/>
  <c r="M798" i="1"/>
  <c r="F799" i="1"/>
  <c r="H799" i="1"/>
  <c r="M799" i="1"/>
  <c r="F800" i="1"/>
  <c r="H800" i="1"/>
  <c r="M800" i="1"/>
  <c r="F801" i="1"/>
  <c r="H801" i="1"/>
  <c r="M801" i="1"/>
  <c r="F802" i="1"/>
  <c r="H802" i="1"/>
  <c r="M802" i="1"/>
  <c r="F803" i="1"/>
  <c r="H803" i="1"/>
  <c r="M803" i="1"/>
  <c r="F804" i="1"/>
  <c r="H804" i="1"/>
  <c r="M804" i="1"/>
  <c r="F805" i="1"/>
  <c r="H805" i="1"/>
  <c r="M805" i="1"/>
  <c r="F806" i="1"/>
  <c r="H806" i="1"/>
  <c r="M806" i="1"/>
  <c r="F807" i="1"/>
  <c r="H807" i="1"/>
  <c r="M807" i="1"/>
  <c r="F808" i="1"/>
  <c r="H808" i="1"/>
  <c r="M808" i="1"/>
  <c r="F809" i="1"/>
  <c r="H809" i="1"/>
  <c r="M809" i="1"/>
  <c r="F810" i="1"/>
  <c r="H810" i="1"/>
  <c r="M810" i="1"/>
  <c r="F811" i="1"/>
  <c r="H811" i="1"/>
  <c r="M811" i="1"/>
  <c r="F812" i="1"/>
  <c r="H812" i="1"/>
  <c r="M812" i="1"/>
  <c r="F813" i="1"/>
  <c r="H813" i="1"/>
  <c r="M813" i="1"/>
  <c r="F814" i="1"/>
  <c r="H814" i="1"/>
  <c r="M814" i="1"/>
  <c r="F815" i="1"/>
  <c r="H815" i="1"/>
  <c r="M815" i="1"/>
  <c r="F816" i="1"/>
  <c r="H816" i="1"/>
  <c r="M816" i="1"/>
  <c r="F817" i="1"/>
  <c r="H817" i="1"/>
  <c r="M817" i="1"/>
  <c r="F818" i="1"/>
  <c r="H818" i="1"/>
  <c r="M818" i="1"/>
  <c r="F819" i="1"/>
  <c r="H819" i="1"/>
  <c r="M819" i="1"/>
  <c r="F820" i="1"/>
  <c r="H820" i="1"/>
  <c r="M820" i="1"/>
  <c r="F821" i="1"/>
  <c r="H821" i="1"/>
  <c r="M821" i="1"/>
  <c r="F822" i="1"/>
  <c r="H822" i="1"/>
  <c r="M822" i="1"/>
  <c r="F823" i="1"/>
  <c r="H823" i="1"/>
  <c r="M823" i="1"/>
  <c r="F824" i="1"/>
  <c r="H824" i="1"/>
  <c r="M824" i="1"/>
  <c r="F825" i="1"/>
  <c r="H825" i="1"/>
  <c r="M825" i="1"/>
  <c r="F826" i="1"/>
  <c r="H826" i="1"/>
  <c r="M826" i="1"/>
  <c r="F827" i="1"/>
  <c r="H827" i="1"/>
  <c r="M827" i="1"/>
  <c r="F828" i="1"/>
  <c r="H828" i="1"/>
  <c r="M828" i="1"/>
  <c r="F829" i="1"/>
  <c r="H829" i="1"/>
  <c r="M829" i="1"/>
  <c r="F830" i="1"/>
  <c r="H830" i="1"/>
  <c r="M830" i="1"/>
  <c r="F831" i="1"/>
  <c r="H831" i="1"/>
  <c r="M831" i="1"/>
  <c r="F832" i="1"/>
  <c r="H832" i="1"/>
  <c r="M832" i="1"/>
  <c r="F833" i="1"/>
  <c r="H833" i="1"/>
  <c r="M833" i="1"/>
  <c r="F834" i="1"/>
  <c r="H834" i="1"/>
  <c r="M834" i="1"/>
  <c r="F835" i="1"/>
  <c r="H835" i="1"/>
  <c r="M835" i="1"/>
  <c r="F836" i="1"/>
  <c r="H836" i="1"/>
  <c r="M836" i="1"/>
  <c r="F837" i="1"/>
  <c r="H837" i="1"/>
  <c r="M837" i="1"/>
  <c r="F838" i="1"/>
  <c r="H838" i="1"/>
  <c r="M838" i="1"/>
  <c r="F839" i="1"/>
  <c r="H839" i="1"/>
  <c r="M839" i="1"/>
  <c r="F840" i="1"/>
  <c r="H840" i="1"/>
  <c r="M840" i="1"/>
  <c r="F841" i="1"/>
  <c r="H841" i="1"/>
  <c r="M841" i="1"/>
  <c r="F842" i="1"/>
  <c r="H842" i="1"/>
  <c r="M842" i="1"/>
  <c r="F843" i="1"/>
  <c r="H843" i="1"/>
  <c r="M843" i="1"/>
  <c r="F844" i="1"/>
  <c r="H844" i="1"/>
  <c r="M844" i="1"/>
  <c r="F845" i="1"/>
  <c r="H845" i="1"/>
  <c r="M845" i="1"/>
  <c r="F846" i="1"/>
  <c r="H846" i="1"/>
  <c r="M846" i="1"/>
  <c r="F847" i="1"/>
  <c r="H847" i="1"/>
  <c r="M847" i="1"/>
  <c r="F848" i="1"/>
  <c r="H848" i="1"/>
  <c r="M848" i="1"/>
  <c r="F849" i="1"/>
  <c r="H849" i="1"/>
  <c r="M849" i="1"/>
  <c r="F850" i="1"/>
  <c r="H850" i="1"/>
  <c r="M850" i="1"/>
  <c r="F851" i="1"/>
  <c r="H851" i="1"/>
  <c r="M851" i="1"/>
  <c r="F852" i="1"/>
  <c r="H852" i="1"/>
  <c r="M852" i="1"/>
  <c r="F853" i="1"/>
  <c r="H853" i="1"/>
  <c r="M853" i="1"/>
  <c r="F854" i="1"/>
  <c r="H854" i="1"/>
  <c r="M854" i="1"/>
  <c r="F855" i="1"/>
  <c r="H855" i="1"/>
  <c r="M855" i="1"/>
  <c r="F856" i="1"/>
  <c r="H856" i="1"/>
  <c r="M856" i="1"/>
  <c r="F857" i="1"/>
  <c r="H857" i="1"/>
  <c r="M857" i="1"/>
  <c r="F858" i="1"/>
  <c r="H858" i="1"/>
  <c r="M858" i="1"/>
  <c r="F859" i="1"/>
  <c r="H859" i="1"/>
  <c r="M859" i="1"/>
  <c r="F860" i="1"/>
  <c r="H860" i="1"/>
  <c r="M860" i="1"/>
  <c r="F861" i="1"/>
  <c r="H861" i="1"/>
  <c r="M861" i="1"/>
  <c r="F862" i="1"/>
  <c r="H862" i="1"/>
  <c r="M862" i="1"/>
  <c r="F863" i="1"/>
  <c r="H863" i="1"/>
  <c r="M863" i="1"/>
  <c r="F864" i="1"/>
  <c r="H864" i="1"/>
  <c r="M864" i="1"/>
  <c r="F865" i="1"/>
  <c r="H865" i="1"/>
  <c r="M865" i="1"/>
  <c r="F866" i="1"/>
  <c r="H866" i="1"/>
  <c r="M866" i="1"/>
  <c r="F867" i="1"/>
  <c r="H867" i="1"/>
  <c r="M867" i="1"/>
  <c r="F868" i="1"/>
  <c r="H868" i="1"/>
  <c r="M868" i="1"/>
  <c r="F869" i="1"/>
  <c r="H869" i="1"/>
  <c r="M869" i="1"/>
  <c r="F870" i="1"/>
  <c r="H870" i="1"/>
  <c r="M870" i="1"/>
  <c r="F871" i="1"/>
  <c r="H871" i="1"/>
  <c r="M871" i="1"/>
  <c r="F872" i="1"/>
  <c r="H872" i="1"/>
  <c r="M872" i="1"/>
  <c r="F873" i="1"/>
  <c r="H873" i="1"/>
  <c r="M873" i="1"/>
  <c r="F874" i="1"/>
  <c r="H874" i="1"/>
  <c r="M874" i="1"/>
  <c r="F875" i="1"/>
  <c r="H875" i="1"/>
  <c r="M875" i="1"/>
  <c r="F876" i="1"/>
  <c r="H876" i="1"/>
  <c r="M876" i="1"/>
  <c r="F877" i="1"/>
  <c r="H877" i="1"/>
  <c r="M877" i="1"/>
  <c r="F878" i="1"/>
  <c r="H878" i="1"/>
  <c r="M878" i="1"/>
  <c r="F879" i="1"/>
  <c r="H879" i="1"/>
  <c r="M879" i="1"/>
  <c r="F880" i="1"/>
  <c r="H880" i="1"/>
  <c r="M880" i="1"/>
  <c r="F881" i="1"/>
  <c r="H881" i="1"/>
  <c r="M881" i="1"/>
  <c r="F882" i="1"/>
  <c r="H882" i="1"/>
  <c r="M882" i="1"/>
  <c r="F883" i="1"/>
  <c r="H883" i="1"/>
  <c r="M883" i="1"/>
  <c r="F884" i="1"/>
  <c r="H884" i="1"/>
  <c r="M884" i="1"/>
  <c r="F885" i="1"/>
  <c r="H885" i="1"/>
  <c r="M885" i="1"/>
  <c r="F886" i="1"/>
  <c r="H886" i="1"/>
  <c r="M886" i="1"/>
  <c r="F887" i="1"/>
  <c r="H887" i="1"/>
  <c r="M887" i="1"/>
  <c r="F888" i="1"/>
  <c r="H888" i="1"/>
  <c r="M888" i="1"/>
  <c r="F889" i="1"/>
  <c r="H889" i="1"/>
  <c r="M889" i="1"/>
  <c r="F890" i="1"/>
  <c r="H890" i="1"/>
  <c r="M890" i="1"/>
  <c r="F891" i="1"/>
  <c r="H891" i="1"/>
  <c r="M891" i="1"/>
  <c r="F892" i="1"/>
  <c r="H892" i="1"/>
  <c r="M892" i="1"/>
  <c r="F893" i="1"/>
  <c r="H893" i="1"/>
  <c r="M893" i="1"/>
  <c r="F894" i="1"/>
  <c r="H894" i="1"/>
  <c r="M894" i="1"/>
  <c r="F895" i="1"/>
  <c r="H895" i="1"/>
  <c r="M895" i="1"/>
  <c r="F896" i="1"/>
  <c r="H896" i="1"/>
  <c r="M896" i="1"/>
  <c r="F897" i="1"/>
  <c r="H897" i="1"/>
  <c r="M897" i="1"/>
  <c r="F898" i="1"/>
  <c r="H898" i="1"/>
  <c r="M898" i="1"/>
  <c r="F899" i="1"/>
  <c r="H899" i="1"/>
  <c r="M899" i="1"/>
  <c r="F900" i="1"/>
  <c r="H900" i="1"/>
  <c r="M900" i="1"/>
  <c r="F901" i="1"/>
  <c r="H901" i="1"/>
  <c r="M901" i="1"/>
  <c r="F902" i="1"/>
  <c r="H902" i="1"/>
  <c r="M902" i="1"/>
  <c r="F903" i="1"/>
  <c r="H903" i="1"/>
  <c r="M903" i="1"/>
  <c r="F904" i="1"/>
  <c r="H904" i="1"/>
  <c r="M904" i="1"/>
  <c r="F905" i="1"/>
  <c r="H905" i="1"/>
  <c r="M905" i="1"/>
  <c r="F906" i="1"/>
  <c r="H906" i="1"/>
  <c r="M906" i="1"/>
  <c r="F907" i="1"/>
  <c r="H907" i="1"/>
  <c r="M907" i="1"/>
  <c r="F908" i="1"/>
  <c r="H908" i="1"/>
  <c r="M908" i="1"/>
  <c r="F909" i="1"/>
  <c r="H909" i="1"/>
  <c r="M909" i="1"/>
  <c r="F910" i="1"/>
  <c r="H910" i="1"/>
  <c r="M910" i="1"/>
  <c r="F911" i="1"/>
  <c r="H911" i="1"/>
  <c r="M911" i="1"/>
  <c r="F912" i="1"/>
  <c r="H912" i="1"/>
  <c r="M912" i="1"/>
  <c r="F913" i="1"/>
  <c r="H913" i="1"/>
  <c r="M913" i="1"/>
  <c r="F914" i="1"/>
  <c r="H914" i="1"/>
  <c r="M914" i="1"/>
  <c r="F915" i="1"/>
  <c r="H915" i="1"/>
  <c r="M915" i="1"/>
  <c r="F916" i="1"/>
  <c r="H916" i="1"/>
  <c r="M916" i="1"/>
  <c r="F917" i="1"/>
  <c r="H917" i="1"/>
  <c r="M917" i="1"/>
  <c r="F918" i="1"/>
  <c r="H918" i="1"/>
  <c r="M918" i="1"/>
  <c r="F919" i="1"/>
  <c r="H919" i="1"/>
  <c r="M919" i="1"/>
  <c r="F920" i="1"/>
  <c r="H920" i="1"/>
  <c r="M920" i="1"/>
  <c r="F921" i="1"/>
  <c r="H921" i="1"/>
  <c r="M921" i="1"/>
  <c r="F922" i="1"/>
  <c r="H922" i="1"/>
  <c r="M922" i="1"/>
  <c r="F923" i="1"/>
  <c r="H923" i="1"/>
  <c r="M923" i="1"/>
  <c r="F924" i="1"/>
  <c r="H924" i="1"/>
  <c r="M924" i="1"/>
  <c r="F925" i="1"/>
  <c r="H925" i="1"/>
  <c r="M925" i="1"/>
  <c r="F926" i="1"/>
  <c r="H926" i="1"/>
  <c r="M926" i="1"/>
  <c r="F927" i="1"/>
  <c r="H927" i="1"/>
  <c r="M927" i="1"/>
  <c r="F928" i="1"/>
  <c r="H928" i="1"/>
  <c r="M928" i="1"/>
  <c r="F929" i="1"/>
  <c r="H929" i="1"/>
  <c r="M929" i="1"/>
  <c r="F930" i="1"/>
  <c r="H930" i="1"/>
  <c r="M930" i="1"/>
  <c r="F931" i="1"/>
  <c r="H931" i="1"/>
  <c r="M931" i="1"/>
  <c r="F932" i="1"/>
  <c r="H932" i="1"/>
  <c r="M932" i="1"/>
  <c r="F933" i="1"/>
  <c r="H933" i="1"/>
  <c r="M933" i="1"/>
  <c r="F934" i="1"/>
  <c r="H934" i="1"/>
  <c r="M934" i="1"/>
  <c r="F935" i="1"/>
  <c r="H935" i="1"/>
  <c r="M935" i="1"/>
  <c r="F936" i="1"/>
  <c r="H936" i="1"/>
  <c r="M936" i="1"/>
  <c r="F937" i="1"/>
  <c r="H937" i="1"/>
  <c r="M937" i="1"/>
  <c r="F938" i="1"/>
  <c r="H938" i="1"/>
  <c r="M938" i="1"/>
  <c r="F939" i="1"/>
  <c r="H939" i="1"/>
  <c r="M939" i="1"/>
  <c r="F940" i="1"/>
  <c r="H940" i="1"/>
  <c r="M940" i="1"/>
  <c r="F941" i="1"/>
  <c r="H941" i="1"/>
  <c r="M941" i="1"/>
  <c r="F942" i="1"/>
  <c r="H942" i="1"/>
  <c r="M942" i="1"/>
  <c r="F943" i="1"/>
  <c r="H943" i="1"/>
  <c r="M943" i="1"/>
  <c r="F944" i="1"/>
  <c r="H944" i="1"/>
  <c r="M944" i="1"/>
  <c r="F104" i="1"/>
  <c r="H104" i="1"/>
  <c r="M104" i="1"/>
  <c r="F105" i="1"/>
  <c r="H105" i="1"/>
  <c r="M105" i="1"/>
  <c r="F106" i="1"/>
  <c r="H106" i="1"/>
  <c r="M106" i="1"/>
  <c r="F107" i="1"/>
  <c r="H107" i="1"/>
  <c r="M107" i="1"/>
  <c r="F108" i="1"/>
  <c r="H108" i="1"/>
  <c r="M108" i="1"/>
  <c r="F109" i="1"/>
  <c r="H109" i="1"/>
  <c r="M109" i="1"/>
  <c r="F102" i="1"/>
  <c r="H102" i="1"/>
  <c r="M102" i="1"/>
  <c r="F103" i="1"/>
  <c r="H103" i="1"/>
  <c r="M103" i="1"/>
  <c r="F5" i="1"/>
  <c r="F6" i="1"/>
  <c r="F7" i="1"/>
  <c r="F8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9" i="1"/>
  <c r="M40" i="1"/>
  <c r="R6" i="1"/>
  <c r="T6" i="1"/>
  <c r="R5" i="1"/>
  <c r="T5" i="1"/>
  <c r="U5" i="1"/>
  <c r="R11" i="1"/>
  <c r="R10" i="1"/>
  <c r="R12" i="1"/>
  <c r="R13" i="1"/>
  <c r="R14" i="1"/>
  <c r="R15" i="1"/>
  <c r="R16" i="1"/>
  <c r="R17" i="1"/>
  <c r="R18" i="1"/>
  <c r="R7" i="1"/>
  <c r="T7" i="1"/>
  <c r="U7" i="1"/>
  <c r="U6" i="1"/>
  <c r="R8" i="1"/>
  <c r="T8" i="1"/>
  <c r="U8" i="1"/>
  <c r="R9" i="1"/>
  <c r="T9" i="1"/>
  <c r="U9" i="1"/>
  <c r="T10" i="1"/>
  <c r="U10" i="1"/>
  <c r="T11" i="1"/>
  <c r="U11" i="1"/>
  <c r="T12" i="1"/>
  <c r="U12" i="1"/>
  <c r="T13" i="1"/>
  <c r="U13" i="1"/>
  <c r="T14" i="1"/>
  <c r="U14" i="1"/>
  <c r="T15" i="1"/>
  <c r="U15" i="1"/>
  <c r="T16" i="1"/>
  <c r="U16" i="1"/>
  <c r="T17" i="1"/>
  <c r="U17" i="1"/>
  <c r="T18" i="1"/>
  <c r="U18" i="1"/>
  <c r="R19" i="1"/>
  <c r="T19" i="1"/>
  <c r="U19" i="1"/>
  <c r="R20" i="1"/>
  <c r="T20" i="1"/>
  <c r="U20" i="1"/>
  <c r="R21" i="1"/>
  <c r="T21" i="1"/>
  <c r="U21" i="1"/>
  <c r="R22" i="1"/>
  <c r="T22" i="1"/>
  <c r="U22" i="1"/>
  <c r="R23" i="1"/>
  <c r="T23" i="1"/>
  <c r="U23" i="1"/>
  <c r="R24" i="1"/>
  <c r="T24" i="1"/>
  <c r="U24" i="1"/>
  <c r="R25" i="1"/>
  <c r="T25" i="1"/>
  <c r="U25" i="1"/>
  <c r="R26" i="1"/>
  <c r="T26" i="1"/>
  <c r="U26" i="1"/>
  <c r="R27" i="1"/>
  <c r="T27" i="1"/>
  <c r="U27" i="1"/>
  <c r="R28" i="1"/>
  <c r="T28" i="1"/>
  <c r="U28" i="1"/>
  <c r="R29" i="1"/>
  <c r="T29" i="1"/>
  <c r="U29" i="1"/>
  <c r="R30" i="1"/>
  <c r="T30" i="1"/>
  <c r="U30" i="1"/>
  <c r="R31" i="1"/>
  <c r="T31" i="1"/>
  <c r="U31" i="1"/>
  <c r="R32" i="1"/>
  <c r="T32" i="1"/>
  <c r="U32" i="1"/>
  <c r="R33" i="1"/>
  <c r="T33" i="1"/>
  <c r="U33" i="1"/>
  <c r="R34" i="1"/>
  <c r="T34" i="1"/>
  <c r="U34" i="1"/>
  <c r="R35" i="1"/>
  <c r="T35" i="1"/>
  <c r="U35" i="1"/>
  <c r="R36" i="1"/>
  <c r="T36" i="1"/>
  <c r="U36" i="1"/>
  <c r="R37" i="1"/>
  <c r="T37" i="1"/>
  <c r="U37" i="1"/>
  <c r="R38" i="1"/>
  <c r="T38" i="1"/>
  <c r="U38" i="1"/>
  <c r="R39" i="1"/>
  <c r="T39" i="1"/>
  <c r="U39" i="1"/>
  <c r="R40" i="1"/>
  <c r="T40" i="1"/>
  <c r="U40" i="1"/>
  <c r="R41" i="1"/>
  <c r="T41" i="1"/>
  <c r="U41" i="1"/>
  <c r="R42" i="1"/>
  <c r="T42" i="1"/>
  <c r="U42" i="1"/>
  <c r="R43" i="1"/>
  <c r="T43" i="1"/>
  <c r="U43" i="1"/>
  <c r="R44" i="1"/>
  <c r="T44" i="1"/>
  <c r="U44" i="1"/>
  <c r="R45" i="1"/>
  <c r="T45" i="1"/>
  <c r="U45" i="1"/>
  <c r="R46" i="1"/>
  <c r="T46" i="1"/>
  <c r="U46" i="1"/>
  <c r="R47" i="1"/>
  <c r="T47" i="1"/>
  <c r="U47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K949" i="1"/>
  <c r="B949" i="1"/>
  <c r="M949" i="1"/>
  <c r="K950" i="1"/>
  <c r="B950" i="1"/>
  <c r="M950" i="1"/>
  <c r="K951" i="1"/>
  <c r="B951" i="1"/>
  <c r="M951" i="1"/>
  <c r="K952" i="1"/>
  <c r="B952" i="1"/>
  <c r="M952" i="1"/>
  <c r="K953" i="1"/>
  <c r="B953" i="1"/>
  <c r="M953" i="1"/>
  <c r="M9" i="1"/>
  <c r="H953" i="1"/>
  <c r="H954" i="1"/>
  <c r="H955" i="1"/>
  <c r="H952" i="1"/>
  <c r="B954" i="1"/>
  <c r="B955" i="1"/>
  <c r="H951" i="1"/>
  <c r="H950" i="1"/>
  <c r="H94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9" i="1"/>
</calcChain>
</file>

<file path=xl/sharedStrings.xml><?xml version="1.0" encoding="utf-8"?>
<sst xmlns="http://schemas.openxmlformats.org/spreadsheetml/2006/main" count="21" uniqueCount="20">
  <si>
    <t>geïsoleerde omvang</t>
  </si>
  <si>
    <t>toegepaste toeslag</t>
  </si>
  <si>
    <t>voorbeeld</t>
  </si>
  <si>
    <t>OMVANGEN TABEL</t>
  </si>
  <si>
    <r>
      <t xml:space="preserve">Vanaf hier </t>
    </r>
    <r>
      <rPr>
        <b/>
        <sz val="12"/>
        <color theme="1"/>
        <rFont val="Calibri"/>
        <family val="2"/>
        <scheme val="minor"/>
      </rPr>
      <t xml:space="preserve">altijd </t>
    </r>
    <r>
      <rPr>
        <sz val="12"/>
        <color theme="1"/>
        <rFont val="Calibri"/>
        <family val="2"/>
        <scheme val="minor"/>
      </rPr>
      <t>de formule gebruiken met 0,06 +38</t>
    </r>
  </si>
  <si>
    <t>HOOGTE TABEL</t>
  </si>
  <si>
    <t>Kale omvang in cm</t>
  </si>
  <si>
    <t>CODE</t>
  </si>
  <si>
    <t>OMREKEN</t>
  </si>
  <si>
    <t>kale hoogte</t>
  </si>
  <si>
    <t xml:space="preserve"> in cm</t>
  </si>
  <si>
    <t>geïsoleerde</t>
  </si>
  <si>
    <t>omvang</t>
  </si>
  <si>
    <t>d</t>
  </si>
  <si>
    <t>d+isol.</t>
  </si>
  <si>
    <t>omv.isol.</t>
  </si>
  <si>
    <t>schaal fact.</t>
  </si>
  <si>
    <r>
      <t xml:space="preserve">mat </t>
    </r>
    <r>
      <rPr>
        <sz val="12"/>
        <color theme="1"/>
        <rFont val="Calibri"/>
        <family val="2"/>
      </rPr>
      <t xml:space="preserve">½ </t>
    </r>
    <r>
      <rPr>
        <sz val="12"/>
        <color theme="1"/>
        <rFont val="Calibri"/>
        <family val="2"/>
        <scheme val="minor"/>
      </rPr>
      <t>omv.</t>
    </r>
  </si>
  <si>
    <t>Isolatie dikte</t>
  </si>
  <si>
    <t>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</si>
</sst>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9">
    <xf numFmtId="0" fontId="0" fillId="0" borderId="0" xfId="0"/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1" fontId="0" fillId="2" borderId="1" xfId="0" applyNumberFormat="1" applyFill="1" applyBorder="1"/>
    <xf numFmtId="1" fontId="0" fillId="2" borderId="0" xfId="0" applyNumberFormat="1" applyFill="1"/>
    <xf numFmtId="2" fontId="0" fillId="2" borderId="1" xfId="0" applyNumberFormat="1" applyFill="1" applyBorder="1"/>
    <xf numFmtId="2" fontId="0" fillId="2" borderId="0" xfId="0" applyNumberFormat="1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0" fillId="3" borderId="9" xfId="0" applyFill="1" applyBorder="1"/>
    <xf numFmtId="0" fontId="1" fillId="3" borderId="9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2" xfId="0" applyFill="1" applyBorder="1"/>
    <xf numFmtId="0" fontId="0" fillId="3" borderId="1" xfId="0" applyFill="1" applyBorder="1"/>
    <xf numFmtId="1" fontId="0" fillId="3" borderId="1" xfId="0" applyNumberFormat="1" applyFill="1" applyBorder="1"/>
    <xf numFmtId="2" fontId="0" fillId="2" borderId="2" xfId="0" applyNumberFormat="1" applyFill="1" applyBorder="1"/>
    <xf numFmtId="1" fontId="0" fillId="2" borderId="2" xfId="0" applyNumberFormat="1" applyFill="1" applyBorder="1"/>
    <xf numFmtId="1" fontId="0" fillId="2" borderId="7" xfId="0" applyNumberFormat="1" applyFill="1" applyBorder="1"/>
    <xf numFmtId="2" fontId="0" fillId="2" borderId="7" xfId="0" applyNumberFormat="1" applyFill="1" applyBorder="1"/>
    <xf numFmtId="1" fontId="0" fillId="2" borderId="10" xfId="0" applyNumberFormat="1" applyFill="1" applyBorder="1"/>
    <xf numFmtId="0" fontId="0" fillId="4" borderId="4" xfId="0" applyFill="1" applyBorder="1"/>
    <xf numFmtId="0" fontId="0" fillId="4" borderId="7" xfId="0" applyFill="1" applyBorder="1"/>
    <xf numFmtId="1" fontId="0" fillId="4" borderId="1" xfId="0" applyNumberFormat="1" applyFill="1" applyBorder="1"/>
    <xf numFmtId="1" fontId="0" fillId="4" borderId="7" xfId="0" applyNumberFormat="1" applyFill="1" applyBorder="1"/>
    <xf numFmtId="1" fontId="0" fillId="4" borderId="2" xfId="0" applyNumberFormat="1" applyFill="1" applyBorder="1"/>
    <xf numFmtId="0" fontId="0" fillId="5" borderId="4" xfId="0" applyFill="1" applyBorder="1"/>
    <xf numFmtId="0" fontId="0" fillId="5" borderId="7" xfId="0" applyFill="1" applyBorder="1"/>
    <xf numFmtId="1" fontId="0" fillId="5" borderId="1" xfId="0" applyNumberFormat="1" applyFill="1" applyBorder="1"/>
    <xf numFmtId="1" fontId="0" fillId="5" borderId="7" xfId="0" applyNumberFormat="1" applyFill="1" applyBorder="1"/>
    <xf numFmtId="1" fontId="0" fillId="5" borderId="2" xfId="0" applyNumberFormat="1" applyFill="1" applyBorder="1"/>
    <xf numFmtId="164" fontId="0" fillId="2" borderId="1" xfId="0" applyNumberFormat="1" applyFill="1" applyBorder="1"/>
    <xf numFmtId="9" fontId="0" fillId="2" borderId="0" xfId="0" applyNumberFormat="1" applyFill="1"/>
    <xf numFmtId="9" fontId="0" fillId="4" borderId="4" xfId="0" applyNumberFormat="1" applyFill="1" applyBorder="1"/>
    <xf numFmtId="9" fontId="0" fillId="4" borderId="7" xfId="0" applyNumberFormat="1" applyFill="1" applyBorder="1"/>
    <xf numFmtId="9" fontId="0" fillId="4" borderId="1" xfId="0" applyNumberFormat="1" applyFill="1" applyBorder="1"/>
    <xf numFmtId="9" fontId="0" fillId="4" borderId="2" xfId="0" applyNumberFormat="1" applyFill="1" applyBorder="1"/>
    <xf numFmtId="9" fontId="0" fillId="2" borderId="1" xfId="0" applyNumberFormat="1" applyFill="1" applyBorder="1"/>
    <xf numFmtId="9" fontId="0" fillId="0" borderId="0" xfId="0" applyNumberFormat="1"/>
    <xf numFmtId="0" fontId="0" fillId="2" borderId="11" xfId="0" applyFill="1" applyBorder="1"/>
    <xf numFmtId="1" fontId="0" fillId="2" borderId="11" xfId="0" applyNumberFormat="1" applyFill="1" applyBorder="1"/>
    <xf numFmtId="1" fontId="0" fillId="4" borderId="11" xfId="0" applyNumberFormat="1" applyFill="1" applyBorder="1"/>
    <xf numFmtId="1" fontId="0" fillId="5" borderId="11" xfId="0" applyNumberFormat="1" applyFill="1" applyBorder="1"/>
    <xf numFmtId="9" fontId="0" fillId="4" borderId="11" xfId="0" applyNumberFormat="1" applyFill="1" applyBorder="1"/>
    <xf numFmtId="2" fontId="0" fillId="2" borderId="11" xfId="0" applyNumberFormat="1" applyFill="1" applyBorder="1"/>
    <xf numFmtId="0" fontId="0" fillId="3" borderId="0" xfId="0" applyFill="1" applyBorder="1"/>
    <xf numFmtId="165" fontId="0" fillId="3" borderId="1" xfId="1" applyNumberFormat="1" applyFont="1" applyFill="1" applyBorder="1"/>
    <xf numFmtId="0" fontId="0" fillId="3" borderId="12" xfId="0" applyFill="1" applyBorder="1" applyAlignment="1">
      <alignment horizontal="right"/>
    </xf>
  </cellXfs>
  <cellStyles count="2">
    <cellStyle name="Procent" xfId="1" builtinId="5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ED1D-FB88-ED4C-9B4E-F9F00693A8B0}">
  <sheetPr>
    <pageSetUpPr fitToPage="1"/>
  </sheetPr>
  <dimension ref="A1:V961"/>
  <sheetViews>
    <sheetView tabSelected="1" workbookViewId="0">
      <pane ySplit="3" topLeftCell="A4" activePane="bottomLeft" state="frozen"/>
      <selection pane="bottomLeft" activeCell="AA12" sqref="AA12"/>
    </sheetView>
  </sheetViews>
  <sheetFormatPr defaultColWidth="11" defaultRowHeight="15.75" x14ac:dyDescent="0.25"/>
  <cols>
    <col min="1" max="1" width="16.875" bestFit="1" customWidth="1"/>
    <col min="3" max="4" width="7.125" customWidth="1"/>
    <col min="5" max="5" width="8.125" bestFit="1" customWidth="1"/>
    <col min="6" max="6" width="10.25" bestFit="1" customWidth="1"/>
    <col min="7" max="7" width="16.875" style="49" bestFit="1" customWidth="1"/>
    <col min="9" max="9" width="4.625" customWidth="1"/>
    <col min="10" max="10" width="6.875" customWidth="1"/>
    <col min="11" max="11" width="5.125" customWidth="1"/>
    <col min="12" max="12" width="8.375" customWidth="1"/>
    <col min="16" max="16" width="3.375" customWidth="1"/>
    <col min="19" max="19" width="5.375" customWidth="1"/>
    <col min="21" max="22" width="16.375" customWidth="1"/>
  </cols>
  <sheetData>
    <row r="1" spans="1:22" ht="16.5" thickBot="1" x14ac:dyDescent="0.3">
      <c r="A1" s="2"/>
      <c r="B1" s="3" t="s">
        <v>3</v>
      </c>
      <c r="C1" s="2"/>
      <c r="D1" s="2"/>
      <c r="E1" s="2" t="s">
        <v>18</v>
      </c>
      <c r="F1" s="2"/>
      <c r="G1" s="43"/>
      <c r="H1" s="2"/>
      <c r="I1" s="2"/>
      <c r="J1" s="2"/>
      <c r="K1" s="2"/>
      <c r="L1" s="2"/>
      <c r="M1" s="2"/>
      <c r="N1" s="2"/>
      <c r="O1" s="16"/>
      <c r="P1" s="17" t="s">
        <v>5</v>
      </c>
      <c r="Q1" s="16"/>
      <c r="R1" s="16"/>
      <c r="S1" s="16"/>
      <c r="T1" s="16"/>
      <c r="U1" s="16"/>
      <c r="V1" s="56"/>
    </row>
    <row r="2" spans="1:22" ht="16.5" thickBot="1" x14ac:dyDescent="0.3">
      <c r="A2" s="2"/>
      <c r="B2" s="2"/>
      <c r="C2" s="2"/>
      <c r="D2" s="2"/>
      <c r="E2" s="2"/>
      <c r="F2" s="2"/>
      <c r="G2" s="43"/>
      <c r="H2" s="2"/>
      <c r="I2" s="2"/>
      <c r="J2" s="2"/>
      <c r="K2" s="2"/>
      <c r="L2" s="2"/>
      <c r="M2" s="2"/>
      <c r="N2" s="2"/>
      <c r="O2" s="18" t="s">
        <v>9</v>
      </c>
      <c r="P2" s="19"/>
      <c r="Q2" s="19"/>
      <c r="R2" s="19"/>
      <c r="S2" s="19"/>
      <c r="T2" s="19" t="s">
        <v>11</v>
      </c>
      <c r="U2" s="20" t="s">
        <v>7</v>
      </c>
      <c r="V2" s="56"/>
    </row>
    <row r="3" spans="1:22" ht="16.5" thickBot="1" x14ac:dyDescent="0.3">
      <c r="A3" s="10" t="s">
        <v>6</v>
      </c>
      <c r="B3" s="11" t="s">
        <v>0</v>
      </c>
      <c r="C3" s="11"/>
      <c r="D3" s="32"/>
      <c r="E3" s="32"/>
      <c r="F3" s="37"/>
      <c r="G3" s="44"/>
      <c r="H3" s="11" t="s">
        <v>1</v>
      </c>
      <c r="I3" s="11"/>
      <c r="J3" s="11"/>
      <c r="K3" s="11"/>
      <c r="L3" s="11"/>
      <c r="M3" s="14"/>
      <c r="N3" s="2"/>
      <c r="O3" s="21" t="s">
        <v>10</v>
      </c>
      <c r="P3" s="22"/>
      <c r="Q3" s="22"/>
      <c r="R3" s="22"/>
      <c r="S3" s="22"/>
      <c r="T3" s="22" t="s">
        <v>12</v>
      </c>
      <c r="U3" s="23"/>
      <c r="V3" s="58" t="s">
        <v>19</v>
      </c>
    </row>
    <row r="4" spans="1:22" ht="16.5" thickBot="1" x14ac:dyDescent="0.3">
      <c r="A4" s="12"/>
      <c r="B4" s="13"/>
      <c r="C4" s="13" t="s">
        <v>13</v>
      </c>
      <c r="D4" s="33" t="s">
        <v>14</v>
      </c>
      <c r="E4" s="33" t="s">
        <v>15</v>
      </c>
      <c r="F4" s="38" t="s">
        <v>17</v>
      </c>
      <c r="G4" s="45" t="s">
        <v>16</v>
      </c>
      <c r="H4" s="13"/>
      <c r="I4" s="13"/>
      <c r="J4" s="13"/>
      <c r="K4" s="13"/>
      <c r="L4" s="13"/>
      <c r="M4" s="15"/>
      <c r="N4" s="2"/>
      <c r="O4" s="24"/>
      <c r="P4" s="24"/>
      <c r="Q4" s="24"/>
      <c r="R4" s="24"/>
      <c r="S4" s="24"/>
      <c r="T4" s="24"/>
      <c r="U4" s="24"/>
      <c r="V4" s="24"/>
    </row>
    <row r="5" spans="1:22" x14ac:dyDescent="0.25">
      <c r="A5" s="9">
        <v>20</v>
      </c>
      <c r="B5" s="9">
        <f>A5+H5</f>
        <v>48</v>
      </c>
      <c r="C5" s="5">
        <f t="shared" ref="C5:C8" si="0">A5/PI()</f>
        <v>6.366197723675814</v>
      </c>
      <c r="D5" s="34">
        <f t="shared" ref="D5:D9" si="1">C5+8</f>
        <v>14.366197723675814</v>
      </c>
      <c r="E5" s="34">
        <f t="shared" ref="E5:E8" si="2">D5*PI()</f>
        <v>45.132741228718345</v>
      </c>
      <c r="F5" s="39">
        <f t="shared" ref="F5:F8" si="3">E5/2</f>
        <v>22.566370614359172</v>
      </c>
      <c r="G5" s="46">
        <f>ROUNDUP(B5/E5,2)</f>
        <v>1.07</v>
      </c>
      <c r="H5" s="9">
        <v>28</v>
      </c>
      <c r="I5" s="9"/>
      <c r="J5" s="9"/>
      <c r="K5" s="9"/>
      <c r="L5" s="9"/>
      <c r="M5" s="9"/>
      <c r="N5" s="2"/>
      <c r="O5" s="25">
        <v>10</v>
      </c>
      <c r="P5" s="25"/>
      <c r="Q5" s="25">
        <v>0.5</v>
      </c>
      <c r="R5" s="26">
        <f>O5*Q5</f>
        <v>5</v>
      </c>
      <c r="S5" s="25"/>
      <c r="T5" s="26">
        <f>O5+R5</f>
        <v>15</v>
      </c>
      <c r="U5" s="25">
        <f t="shared" ref="U5:U47" si="4">T5/O5</f>
        <v>1.5</v>
      </c>
      <c r="V5" s="57">
        <f>U5*100%</f>
        <v>1.5</v>
      </c>
    </row>
    <row r="6" spans="1:22" x14ac:dyDescent="0.25">
      <c r="A6" s="4">
        <v>25</v>
      </c>
      <c r="B6" s="4">
        <f t="shared" ref="B6:B8" si="5">A6+H6</f>
        <v>53</v>
      </c>
      <c r="C6" s="5">
        <f t="shared" si="0"/>
        <v>7.9577471545947667</v>
      </c>
      <c r="D6" s="34">
        <f t="shared" si="1"/>
        <v>15.957747154594767</v>
      </c>
      <c r="E6" s="34">
        <f t="shared" si="2"/>
        <v>50.132741228718345</v>
      </c>
      <c r="F6" s="39">
        <f t="shared" si="3"/>
        <v>25.066370614359172</v>
      </c>
      <c r="G6" s="46">
        <f t="shared" ref="G6:G69" si="6">ROUNDUP(B6/E6,2)</f>
        <v>1.06</v>
      </c>
      <c r="H6" s="4">
        <v>28</v>
      </c>
      <c r="I6" s="4"/>
      <c r="J6" s="4"/>
      <c r="K6" s="4"/>
      <c r="L6" s="4"/>
      <c r="M6" s="4"/>
      <c r="N6" s="2"/>
      <c r="O6" s="25">
        <v>15</v>
      </c>
      <c r="P6" s="25"/>
      <c r="Q6" s="25">
        <v>0.34</v>
      </c>
      <c r="R6" s="26">
        <f t="shared" ref="R6:R18" si="7">O6*Q6</f>
        <v>5.1000000000000005</v>
      </c>
      <c r="S6" s="25"/>
      <c r="T6" s="26">
        <f>O6+R6</f>
        <v>20.100000000000001</v>
      </c>
      <c r="U6" s="25">
        <f t="shared" si="4"/>
        <v>1.34</v>
      </c>
      <c r="V6" s="57">
        <f t="shared" ref="V6:V47" si="8">U6*100%</f>
        <v>1.34</v>
      </c>
    </row>
    <row r="7" spans="1:22" x14ac:dyDescent="0.25">
      <c r="A7" s="4">
        <v>30</v>
      </c>
      <c r="B7" s="4">
        <f t="shared" si="5"/>
        <v>60</v>
      </c>
      <c r="C7" s="5">
        <f t="shared" si="0"/>
        <v>9.5492965855137211</v>
      </c>
      <c r="D7" s="34">
        <f t="shared" si="1"/>
        <v>17.549296585513723</v>
      </c>
      <c r="E7" s="34">
        <f t="shared" si="2"/>
        <v>55.132741228718352</v>
      </c>
      <c r="F7" s="39">
        <f t="shared" si="3"/>
        <v>27.566370614359176</v>
      </c>
      <c r="G7" s="46">
        <f t="shared" si="6"/>
        <v>1.0900000000000001</v>
      </c>
      <c r="H7" s="4">
        <v>30</v>
      </c>
      <c r="I7" s="4"/>
      <c r="J7" s="4"/>
      <c r="K7" s="4"/>
      <c r="L7" s="4"/>
      <c r="M7" s="4" t="s">
        <v>8</v>
      </c>
      <c r="N7" s="2"/>
      <c r="O7" s="25">
        <v>20</v>
      </c>
      <c r="P7" s="25"/>
      <c r="Q7" s="25">
        <v>0.25</v>
      </c>
      <c r="R7" s="26">
        <f>O7*Q7</f>
        <v>5</v>
      </c>
      <c r="S7" s="25"/>
      <c r="T7" s="26">
        <f t="shared" ref="T7:T18" si="9">O7+R7</f>
        <v>25</v>
      </c>
      <c r="U7" s="25">
        <f t="shared" si="4"/>
        <v>1.25</v>
      </c>
      <c r="V7" s="57">
        <f t="shared" si="8"/>
        <v>1.25</v>
      </c>
    </row>
    <row r="8" spans="1:22" x14ac:dyDescent="0.25">
      <c r="A8" s="4">
        <v>35</v>
      </c>
      <c r="B8" s="4">
        <f t="shared" si="5"/>
        <v>65</v>
      </c>
      <c r="C8" s="5">
        <f t="shared" si="0"/>
        <v>11.140846016432674</v>
      </c>
      <c r="D8" s="34">
        <f t="shared" si="1"/>
        <v>19.140846016432675</v>
      </c>
      <c r="E8" s="34">
        <f t="shared" si="2"/>
        <v>60.132741228718352</v>
      </c>
      <c r="F8" s="39">
        <f t="shared" si="3"/>
        <v>30.066370614359176</v>
      </c>
      <c r="G8" s="46">
        <f t="shared" si="6"/>
        <v>1.0900000000000001</v>
      </c>
      <c r="H8" s="4">
        <v>30</v>
      </c>
      <c r="I8" s="4"/>
      <c r="J8" s="4"/>
      <c r="K8" s="4"/>
      <c r="L8" s="4"/>
      <c r="M8" s="4" t="s">
        <v>7</v>
      </c>
      <c r="N8" s="2"/>
      <c r="O8" s="25">
        <v>25</v>
      </c>
      <c r="P8" s="25"/>
      <c r="Q8" s="25">
        <v>0.2</v>
      </c>
      <c r="R8" s="26">
        <f t="shared" si="7"/>
        <v>5</v>
      </c>
      <c r="S8" s="25"/>
      <c r="T8" s="26">
        <f t="shared" si="9"/>
        <v>30</v>
      </c>
      <c r="U8" s="25">
        <f t="shared" si="4"/>
        <v>1.2</v>
      </c>
      <c r="V8" s="57">
        <f t="shared" si="8"/>
        <v>1.2</v>
      </c>
    </row>
    <row r="9" spans="1:22" x14ac:dyDescent="0.25">
      <c r="A9" s="4">
        <v>40</v>
      </c>
      <c r="B9" s="4">
        <f t="shared" ref="B9:B40" si="10">A9+K9+L9</f>
        <v>73</v>
      </c>
      <c r="C9" s="5">
        <f>A9/PI()</f>
        <v>12.732395447351628</v>
      </c>
      <c r="D9" s="34">
        <f t="shared" si="1"/>
        <v>20.732395447351628</v>
      </c>
      <c r="E9" s="34">
        <f>D9*PI()</f>
        <v>65.132741228718345</v>
      </c>
      <c r="F9" s="39">
        <f>E9/2</f>
        <v>32.566370614359172</v>
      </c>
      <c r="G9" s="46">
        <f t="shared" si="6"/>
        <v>1.1300000000000001</v>
      </c>
      <c r="H9" s="5">
        <f>K9+L9</f>
        <v>33</v>
      </c>
      <c r="I9" s="4"/>
      <c r="J9" s="4">
        <v>0.05</v>
      </c>
      <c r="K9" s="5">
        <f>A9*J9</f>
        <v>2</v>
      </c>
      <c r="L9" s="4">
        <v>31</v>
      </c>
      <c r="M9" s="7">
        <f t="shared" ref="M9:M40" si="11">B9/A9</f>
        <v>1.825</v>
      </c>
      <c r="N9" s="6"/>
      <c r="O9" s="25">
        <v>30</v>
      </c>
      <c r="P9" s="25"/>
      <c r="Q9" s="25">
        <v>0.17</v>
      </c>
      <c r="R9" s="26">
        <f t="shared" si="7"/>
        <v>5.1000000000000005</v>
      </c>
      <c r="S9" s="25"/>
      <c r="T9" s="26">
        <f t="shared" si="9"/>
        <v>35.1</v>
      </c>
      <c r="U9" s="25">
        <f t="shared" si="4"/>
        <v>1.1700000000000002</v>
      </c>
      <c r="V9" s="57">
        <f t="shared" si="8"/>
        <v>1.1700000000000002</v>
      </c>
    </row>
    <row r="10" spans="1:22" ht="16.5" thickBot="1" x14ac:dyDescent="0.3">
      <c r="A10" s="13">
        <v>45</v>
      </c>
      <c r="B10" s="29">
        <f t="shared" si="10"/>
        <v>78.25</v>
      </c>
      <c r="C10" s="29">
        <f t="shared" ref="C10:C73" si="12">A10/PI()</f>
        <v>14.323944878270581</v>
      </c>
      <c r="D10" s="35">
        <f>C10+8</f>
        <v>22.323944878270581</v>
      </c>
      <c r="E10" s="35">
        <f t="shared" ref="E10:E73" si="13">D10*PI()</f>
        <v>70.132741228718345</v>
      </c>
      <c r="F10" s="40">
        <f t="shared" ref="F10:F73" si="14">E10/2</f>
        <v>35.066370614359172</v>
      </c>
      <c r="G10" s="45">
        <f t="shared" si="6"/>
        <v>1.1200000000000001</v>
      </c>
      <c r="H10" s="29">
        <f t="shared" ref="H10:H73" si="15">K10+L10</f>
        <v>33.25</v>
      </c>
      <c r="I10" s="13"/>
      <c r="J10" s="13">
        <v>0.05</v>
      </c>
      <c r="K10" s="29">
        <f>A10*J10</f>
        <v>2.25</v>
      </c>
      <c r="L10" s="13">
        <v>31</v>
      </c>
      <c r="M10" s="30">
        <f t="shared" si="11"/>
        <v>1.7388888888888889</v>
      </c>
      <c r="N10" s="6"/>
      <c r="O10" s="25">
        <v>35</v>
      </c>
      <c r="P10" s="25"/>
      <c r="Q10" s="25">
        <v>0.14000000000000001</v>
      </c>
      <c r="R10" s="26">
        <f t="shared" si="7"/>
        <v>4.9000000000000004</v>
      </c>
      <c r="S10" s="25"/>
      <c r="T10" s="26">
        <f t="shared" si="9"/>
        <v>39.9</v>
      </c>
      <c r="U10" s="25">
        <f t="shared" si="4"/>
        <v>1.1399999999999999</v>
      </c>
      <c r="V10" s="57">
        <f t="shared" si="8"/>
        <v>1.1399999999999999</v>
      </c>
    </row>
    <row r="11" spans="1:22" x14ac:dyDescent="0.25">
      <c r="A11" s="9">
        <v>50</v>
      </c>
      <c r="B11" s="28">
        <f t="shared" si="10"/>
        <v>83.5</v>
      </c>
      <c r="C11" s="28">
        <f t="shared" si="12"/>
        <v>15.915494309189533</v>
      </c>
      <c r="D11" s="36">
        <f t="shared" ref="D11:D73" si="16">C11+12</f>
        <v>27.915494309189533</v>
      </c>
      <c r="E11" s="36">
        <f t="shared" si="13"/>
        <v>87.699111843077517</v>
      </c>
      <c r="F11" s="41">
        <f t="shared" si="14"/>
        <v>43.849555921538759</v>
      </c>
      <c r="G11" s="47">
        <f t="shared" si="6"/>
        <v>0.96</v>
      </c>
      <c r="H11" s="28">
        <f t="shared" si="15"/>
        <v>33.5</v>
      </c>
      <c r="I11" s="9"/>
      <c r="J11" s="9">
        <v>0.05</v>
      </c>
      <c r="K11" s="28">
        <f t="shared" ref="K11" si="17">A11*J11</f>
        <v>2.5</v>
      </c>
      <c r="L11" s="9">
        <v>31</v>
      </c>
      <c r="M11" s="27">
        <f t="shared" si="11"/>
        <v>1.67</v>
      </c>
      <c r="N11" s="6"/>
      <c r="O11" s="25">
        <v>40</v>
      </c>
      <c r="P11" s="25"/>
      <c r="Q11" s="25">
        <v>0.13</v>
      </c>
      <c r="R11" s="26">
        <f>O11*Q11</f>
        <v>5.2</v>
      </c>
      <c r="S11" s="25"/>
      <c r="T11" s="26">
        <f t="shared" si="9"/>
        <v>45.2</v>
      </c>
      <c r="U11" s="25">
        <f t="shared" si="4"/>
        <v>1.1300000000000001</v>
      </c>
      <c r="V11" s="57">
        <f t="shared" si="8"/>
        <v>1.1300000000000001</v>
      </c>
    </row>
    <row r="12" spans="1:22" ht="16.5" thickBot="1" x14ac:dyDescent="0.3">
      <c r="A12" s="13">
        <v>55</v>
      </c>
      <c r="B12" s="29">
        <f t="shared" si="10"/>
        <v>88.75</v>
      </c>
      <c r="C12" s="29">
        <f t="shared" si="12"/>
        <v>17.507043740108486</v>
      </c>
      <c r="D12" s="35">
        <f t="shared" si="16"/>
        <v>29.507043740108486</v>
      </c>
      <c r="E12" s="35">
        <f t="shared" si="13"/>
        <v>92.699111843077517</v>
      </c>
      <c r="F12" s="40">
        <f t="shared" si="14"/>
        <v>46.349555921538759</v>
      </c>
      <c r="G12" s="45">
        <f t="shared" si="6"/>
        <v>0.96</v>
      </c>
      <c r="H12" s="29">
        <f t="shared" si="15"/>
        <v>33.75</v>
      </c>
      <c r="I12" s="13"/>
      <c r="J12" s="13">
        <v>0.05</v>
      </c>
      <c r="K12" s="29">
        <f t="shared" ref="K12:K43" si="18">A12*J12</f>
        <v>2.75</v>
      </c>
      <c r="L12" s="13">
        <v>31</v>
      </c>
      <c r="M12" s="30">
        <f t="shared" si="11"/>
        <v>1.6136363636363635</v>
      </c>
      <c r="N12" s="6"/>
      <c r="O12" s="25">
        <v>45</v>
      </c>
      <c r="P12" s="25"/>
      <c r="Q12" s="25">
        <v>0.12</v>
      </c>
      <c r="R12" s="26">
        <f t="shared" si="7"/>
        <v>5.3999999999999995</v>
      </c>
      <c r="S12" s="25"/>
      <c r="T12" s="26">
        <f t="shared" si="9"/>
        <v>50.4</v>
      </c>
      <c r="U12" s="25">
        <f t="shared" si="4"/>
        <v>1.1199999999999999</v>
      </c>
      <c r="V12" s="57">
        <f t="shared" si="8"/>
        <v>1.1199999999999999</v>
      </c>
    </row>
    <row r="13" spans="1:22" x14ac:dyDescent="0.25">
      <c r="A13" s="9">
        <v>60</v>
      </c>
      <c r="B13" s="28">
        <f t="shared" si="10"/>
        <v>94</v>
      </c>
      <c r="C13" s="28">
        <f t="shared" si="12"/>
        <v>19.098593171027442</v>
      </c>
      <c r="D13" s="36">
        <f t="shared" si="16"/>
        <v>31.098593171027442</v>
      </c>
      <c r="E13" s="36">
        <f t="shared" si="13"/>
        <v>97.699111843077517</v>
      </c>
      <c r="F13" s="41">
        <f t="shared" si="14"/>
        <v>48.849555921538759</v>
      </c>
      <c r="G13" s="47">
        <f t="shared" si="6"/>
        <v>0.97</v>
      </c>
      <c r="H13" s="28">
        <f t="shared" si="15"/>
        <v>34</v>
      </c>
      <c r="I13" s="9"/>
      <c r="J13" s="9">
        <v>0.05</v>
      </c>
      <c r="K13" s="28">
        <f t="shared" si="18"/>
        <v>3</v>
      </c>
      <c r="L13" s="9">
        <v>31</v>
      </c>
      <c r="M13" s="27">
        <f t="shared" si="11"/>
        <v>1.5666666666666667</v>
      </c>
      <c r="N13" s="6"/>
      <c r="O13" s="25">
        <v>50</v>
      </c>
      <c r="P13" s="25"/>
      <c r="Q13" s="25">
        <v>0.1</v>
      </c>
      <c r="R13" s="26">
        <f t="shared" si="7"/>
        <v>5</v>
      </c>
      <c r="S13" s="25"/>
      <c r="T13" s="26">
        <f t="shared" si="9"/>
        <v>55</v>
      </c>
      <c r="U13" s="25">
        <f t="shared" si="4"/>
        <v>1.1000000000000001</v>
      </c>
      <c r="V13" s="57">
        <f t="shared" si="8"/>
        <v>1.1000000000000001</v>
      </c>
    </row>
    <row r="14" spans="1:22" ht="16.5" thickBot="1" x14ac:dyDescent="0.3">
      <c r="A14" s="13">
        <v>65</v>
      </c>
      <c r="B14" s="29">
        <f t="shared" si="10"/>
        <v>99.25</v>
      </c>
      <c r="C14" s="29">
        <f t="shared" si="12"/>
        <v>20.690142601946395</v>
      </c>
      <c r="D14" s="35">
        <f t="shared" si="16"/>
        <v>32.690142601946391</v>
      </c>
      <c r="E14" s="35">
        <f t="shared" si="13"/>
        <v>102.6991118430775</v>
      </c>
      <c r="F14" s="40">
        <f t="shared" si="14"/>
        <v>51.349555921538752</v>
      </c>
      <c r="G14" s="45">
        <f t="shared" si="6"/>
        <v>0.97</v>
      </c>
      <c r="H14" s="29">
        <f t="shared" si="15"/>
        <v>34.25</v>
      </c>
      <c r="I14" s="13"/>
      <c r="J14" s="13">
        <v>0.05</v>
      </c>
      <c r="K14" s="29">
        <f t="shared" si="18"/>
        <v>3.25</v>
      </c>
      <c r="L14" s="13">
        <v>31</v>
      </c>
      <c r="M14" s="30">
        <f t="shared" si="11"/>
        <v>1.5269230769230768</v>
      </c>
      <c r="N14" s="6"/>
      <c r="O14" s="25">
        <v>55</v>
      </c>
      <c r="P14" s="25"/>
      <c r="Q14" s="25">
        <v>0.09</v>
      </c>
      <c r="R14" s="26">
        <f t="shared" si="7"/>
        <v>4.95</v>
      </c>
      <c r="S14" s="25"/>
      <c r="T14" s="26">
        <f t="shared" si="9"/>
        <v>59.95</v>
      </c>
      <c r="U14" s="25">
        <f t="shared" si="4"/>
        <v>1.0900000000000001</v>
      </c>
      <c r="V14" s="57">
        <f t="shared" si="8"/>
        <v>1.0900000000000001</v>
      </c>
    </row>
    <row r="15" spans="1:22" x14ac:dyDescent="0.25">
      <c r="A15" s="9">
        <v>70</v>
      </c>
      <c r="B15" s="28">
        <f t="shared" si="10"/>
        <v>104.5</v>
      </c>
      <c r="C15" s="28">
        <f t="shared" si="12"/>
        <v>22.281692032865347</v>
      </c>
      <c r="D15" s="36">
        <f t="shared" si="16"/>
        <v>34.281692032865351</v>
      </c>
      <c r="E15" s="36">
        <f t="shared" si="13"/>
        <v>107.69911184307753</v>
      </c>
      <c r="F15" s="41">
        <f t="shared" si="14"/>
        <v>53.849555921538766</v>
      </c>
      <c r="G15" s="47">
        <f t="shared" si="6"/>
        <v>0.98</v>
      </c>
      <c r="H15" s="28">
        <f t="shared" si="15"/>
        <v>34.5</v>
      </c>
      <c r="I15" s="9"/>
      <c r="J15" s="9">
        <v>0.05</v>
      </c>
      <c r="K15" s="28">
        <f t="shared" si="18"/>
        <v>3.5</v>
      </c>
      <c r="L15" s="9">
        <v>31</v>
      </c>
      <c r="M15" s="27">
        <f t="shared" si="11"/>
        <v>1.4928571428571429</v>
      </c>
      <c r="N15" s="6"/>
      <c r="O15" s="25">
        <v>60</v>
      </c>
      <c r="P15" s="25"/>
      <c r="Q15" s="25">
        <v>0.08</v>
      </c>
      <c r="R15" s="26">
        <f t="shared" si="7"/>
        <v>4.8</v>
      </c>
      <c r="S15" s="25"/>
      <c r="T15" s="26">
        <f t="shared" si="9"/>
        <v>64.8</v>
      </c>
      <c r="U15" s="25">
        <f t="shared" si="4"/>
        <v>1.0799999999999998</v>
      </c>
      <c r="V15" s="57">
        <f t="shared" si="8"/>
        <v>1.0799999999999998</v>
      </c>
    </row>
    <row r="16" spans="1:22" x14ac:dyDescent="0.25">
      <c r="A16" s="4">
        <v>75</v>
      </c>
      <c r="B16" s="5">
        <f t="shared" si="10"/>
        <v>109.75</v>
      </c>
      <c r="C16" s="5">
        <f t="shared" si="12"/>
        <v>23.8732414637843</v>
      </c>
      <c r="D16" s="34">
        <f t="shared" si="16"/>
        <v>35.873241463784296</v>
      </c>
      <c r="E16" s="34">
        <f t="shared" si="13"/>
        <v>112.6991118430775</v>
      </c>
      <c r="F16" s="39">
        <f t="shared" si="14"/>
        <v>56.349555921538752</v>
      </c>
      <c r="G16" s="46">
        <f t="shared" si="6"/>
        <v>0.98</v>
      </c>
      <c r="H16" s="5">
        <f t="shared" si="15"/>
        <v>34.75</v>
      </c>
      <c r="I16" s="4"/>
      <c r="J16" s="4">
        <v>0.05</v>
      </c>
      <c r="K16" s="5">
        <f t="shared" si="18"/>
        <v>3.75</v>
      </c>
      <c r="L16" s="4">
        <v>31</v>
      </c>
      <c r="M16" s="7">
        <f t="shared" si="11"/>
        <v>1.4633333333333334</v>
      </c>
      <c r="N16" s="6"/>
      <c r="O16" s="25">
        <v>65</v>
      </c>
      <c r="P16" s="25"/>
      <c r="Q16" s="25">
        <v>9.5000000000000001E-2</v>
      </c>
      <c r="R16" s="26">
        <f t="shared" si="7"/>
        <v>6.1749999999999998</v>
      </c>
      <c r="S16" s="25"/>
      <c r="T16" s="26">
        <f t="shared" si="9"/>
        <v>71.174999999999997</v>
      </c>
      <c r="U16" s="25">
        <f t="shared" si="4"/>
        <v>1.095</v>
      </c>
      <c r="V16" s="57">
        <f t="shared" si="8"/>
        <v>1.095</v>
      </c>
    </row>
    <row r="17" spans="1:22" ht="16.5" thickBot="1" x14ac:dyDescent="0.3">
      <c r="A17" s="13">
        <v>80</v>
      </c>
      <c r="B17" s="29">
        <f t="shared" si="10"/>
        <v>115</v>
      </c>
      <c r="C17" s="29">
        <f t="shared" si="12"/>
        <v>25.464790894703256</v>
      </c>
      <c r="D17" s="35">
        <f t="shared" si="16"/>
        <v>37.464790894703256</v>
      </c>
      <c r="E17" s="35">
        <f t="shared" si="13"/>
        <v>117.69911184307752</v>
      </c>
      <c r="F17" s="40">
        <f t="shared" si="14"/>
        <v>58.849555921538759</v>
      </c>
      <c r="G17" s="45">
        <f t="shared" si="6"/>
        <v>0.98</v>
      </c>
      <c r="H17" s="29">
        <f t="shared" si="15"/>
        <v>35</v>
      </c>
      <c r="I17" s="13"/>
      <c r="J17" s="13">
        <v>0.05</v>
      </c>
      <c r="K17" s="29">
        <f t="shared" si="18"/>
        <v>4</v>
      </c>
      <c r="L17" s="13">
        <v>31</v>
      </c>
      <c r="M17" s="30">
        <f t="shared" si="11"/>
        <v>1.4375</v>
      </c>
      <c r="N17" s="6"/>
      <c r="O17" s="25">
        <v>70</v>
      </c>
      <c r="P17" s="25"/>
      <c r="Q17" s="25">
        <v>0.09</v>
      </c>
      <c r="R17" s="26">
        <f t="shared" si="7"/>
        <v>6.3</v>
      </c>
      <c r="S17" s="25"/>
      <c r="T17" s="26">
        <f t="shared" si="9"/>
        <v>76.3</v>
      </c>
      <c r="U17" s="25">
        <f t="shared" si="4"/>
        <v>1.0899999999999999</v>
      </c>
      <c r="V17" s="57">
        <f t="shared" si="8"/>
        <v>1.0899999999999999</v>
      </c>
    </row>
    <row r="18" spans="1:22" x14ac:dyDescent="0.25">
      <c r="A18" s="9">
        <v>85</v>
      </c>
      <c r="B18" s="28">
        <f t="shared" si="10"/>
        <v>120.25</v>
      </c>
      <c r="C18" s="28">
        <f t="shared" si="12"/>
        <v>27.056340325622209</v>
      </c>
      <c r="D18" s="36">
        <f t="shared" si="16"/>
        <v>39.056340325622209</v>
      </c>
      <c r="E18" s="36">
        <f t="shared" si="13"/>
        <v>122.69911184307752</v>
      </c>
      <c r="F18" s="41">
        <f t="shared" si="14"/>
        <v>61.349555921538759</v>
      </c>
      <c r="G18" s="47">
        <f t="shared" si="6"/>
        <v>0.99</v>
      </c>
      <c r="H18" s="28">
        <f t="shared" si="15"/>
        <v>35.25</v>
      </c>
      <c r="I18" s="9"/>
      <c r="J18" s="9">
        <v>0.05</v>
      </c>
      <c r="K18" s="28">
        <f t="shared" si="18"/>
        <v>4.25</v>
      </c>
      <c r="L18" s="9">
        <v>31</v>
      </c>
      <c r="M18" s="27">
        <f t="shared" si="11"/>
        <v>1.4147058823529413</v>
      </c>
      <c r="N18" s="6"/>
      <c r="O18" s="25">
        <v>75</v>
      </c>
      <c r="P18" s="25"/>
      <c r="Q18" s="25">
        <v>0.08</v>
      </c>
      <c r="R18" s="26">
        <f t="shared" si="7"/>
        <v>6</v>
      </c>
      <c r="S18" s="25"/>
      <c r="T18" s="26">
        <f t="shared" si="9"/>
        <v>81</v>
      </c>
      <c r="U18" s="25">
        <f t="shared" si="4"/>
        <v>1.08</v>
      </c>
      <c r="V18" s="57">
        <f t="shared" si="8"/>
        <v>1.08</v>
      </c>
    </row>
    <row r="19" spans="1:22" x14ac:dyDescent="0.25">
      <c r="A19" s="4">
        <v>90</v>
      </c>
      <c r="B19" s="5">
        <f t="shared" si="10"/>
        <v>125.5</v>
      </c>
      <c r="C19" s="5">
        <f t="shared" si="12"/>
        <v>28.647889756541161</v>
      </c>
      <c r="D19" s="34">
        <f t="shared" si="16"/>
        <v>40.647889756541161</v>
      </c>
      <c r="E19" s="34">
        <f t="shared" si="13"/>
        <v>127.69911184307752</v>
      </c>
      <c r="F19" s="39">
        <f t="shared" si="14"/>
        <v>63.849555921538759</v>
      </c>
      <c r="G19" s="46">
        <f t="shared" si="6"/>
        <v>0.99</v>
      </c>
      <c r="H19" s="5">
        <f t="shared" si="15"/>
        <v>35.5</v>
      </c>
      <c r="I19" s="4"/>
      <c r="J19" s="4">
        <v>0.05</v>
      </c>
      <c r="K19" s="5">
        <f t="shared" si="18"/>
        <v>4.5</v>
      </c>
      <c r="L19" s="4">
        <v>31</v>
      </c>
      <c r="M19" s="7">
        <f t="shared" si="11"/>
        <v>1.3944444444444444</v>
      </c>
      <c r="N19" s="6"/>
      <c r="O19" s="25">
        <v>80</v>
      </c>
      <c r="P19" s="25"/>
      <c r="Q19" s="25">
        <v>7.4999999999999997E-2</v>
      </c>
      <c r="R19" s="26">
        <f t="shared" ref="R19:R47" si="19">O19*Q19</f>
        <v>6</v>
      </c>
      <c r="S19" s="25"/>
      <c r="T19" s="26">
        <f>O19+R19</f>
        <v>86</v>
      </c>
      <c r="U19" s="25">
        <f t="shared" si="4"/>
        <v>1.075</v>
      </c>
      <c r="V19" s="57">
        <f t="shared" si="8"/>
        <v>1.075</v>
      </c>
    </row>
    <row r="20" spans="1:22" x14ac:dyDescent="0.25">
      <c r="A20" s="4">
        <v>95</v>
      </c>
      <c r="B20" s="5">
        <f t="shared" si="10"/>
        <v>130.75</v>
      </c>
      <c r="C20" s="5">
        <f t="shared" si="12"/>
        <v>30.239439187460114</v>
      </c>
      <c r="D20" s="34">
        <f t="shared" si="16"/>
        <v>42.239439187460114</v>
      </c>
      <c r="E20" s="34">
        <f t="shared" si="13"/>
        <v>132.6991118430775</v>
      </c>
      <c r="F20" s="39">
        <f t="shared" si="14"/>
        <v>66.349555921538752</v>
      </c>
      <c r="G20" s="46">
        <f t="shared" si="6"/>
        <v>0.99</v>
      </c>
      <c r="H20" s="5">
        <f t="shared" si="15"/>
        <v>35.75</v>
      </c>
      <c r="I20" s="4"/>
      <c r="J20" s="4">
        <v>0.05</v>
      </c>
      <c r="K20" s="5">
        <f t="shared" si="18"/>
        <v>4.75</v>
      </c>
      <c r="L20" s="4">
        <v>31</v>
      </c>
      <c r="M20" s="7">
        <f t="shared" si="11"/>
        <v>1.3763157894736842</v>
      </c>
      <c r="N20" s="6"/>
      <c r="O20" s="25">
        <v>85</v>
      </c>
      <c r="P20" s="25"/>
      <c r="Q20" s="25">
        <v>7.4999999999999997E-2</v>
      </c>
      <c r="R20" s="26">
        <f t="shared" si="19"/>
        <v>6.375</v>
      </c>
      <c r="S20" s="25"/>
      <c r="T20" s="26">
        <f t="shared" ref="T20:T47" si="20">O20+R20</f>
        <v>91.375</v>
      </c>
      <c r="U20" s="25">
        <f t="shared" si="4"/>
        <v>1.075</v>
      </c>
      <c r="V20" s="57">
        <f t="shared" si="8"/>
        <v>1.075</v>
      </c>
    </row>
    <row r="21" spans="1:22" x14ac:dyDescent="0.25">
      <c r="A21" s="4">
        <v>100</v>
      </c>
      <c r="B21" s="5">
        <f t="shared" si="10"/>
        <v>136</v>
      </c>
      <c r="C21" s="5">
        <f t="shared" si="12"/>
        <v>31.830988618379067</v>
      </c>
      <c r="D21" s="34">
        <f t="shared" si="16"/>
        <v>43.830988618379067</v>
      </c>
      <c r="E21" s="34">
        <f t="shared" si="13"/>
        <v>137.6991118430775</v>
      </c>
      <c r="F21" s="39">
        <f t="shared" si="14"/>
        <v>68.849555921538752</v>
      </c>
      <c r="G21" s="46">
        <f t="shared" si="6"/>
        <v>0.99</v>
      </c>
      <c r="H21" s="5">
        <f t="shared" si="15"/>
        <v>36</v>
      </c>
      <c r="I21" s="4"/>
      <c r="J21" s="4">
        <v>0.05</v>
      </c>
      <c r="K21" s="5">
        <f t="shared" si="18"/>
        <v>5</v>
      </c>
      <c r="L21" s="4">
        <v>31</v>
      </c>
      <c r="M21" s="7">
        <f t="shared" si="11"/>
        <v>1.36</v>
      </c>
      <c r="N21" s="6"/>
      <c r="O21" s="25">
        <v>90</v>
      </c>
      <c r="P21" s="25"/>
      <c r="Q21" s="25">
        <v>7.4999999999999997E-2</v>
      </c>
      <c r="R21" s="26">
        <f t="shared" si="19"/>
        <v>6.75</v>
      </c>
      <c r="S21" s="25"/>
      <c r="T21" s="26">
        <f t="shared" si="20"/>
        <v>96.75</v>
      </c>
      <c r="U21" s="25">
        <f t="shared" si="4"/>
        <v>1.075</v>
      </c>
      <c r="V21" s="57">
        <f t="shared" si="8"/>
        <v>1.075</v>
      </c>
    </row>
    <row r="22" spans="1:22" ht="16.5" thickBot="1" x14ac:dyDescent="0.3">
      <c r="A22" s="13">
        <v>105</v>
      </c>
      <c r="B22" s="29">
        <f t="shared" si="10"/>
        <v>141.25</v>
      </c>
      <c r="C22" s="29">
        <f t="shared" si="12"/>
        <v>33.422538049298019</v>
      </c>
      <c r="D22" s="35">
        <f t="shared" si="16"/>
        <v>45.422538049298019</v>
      </c>
      <c r="E22" s="35">
        <f t="shared" si="13"/>
        <v>142.6991118430775</v>
      </c>
      <c r="F22" s="40">
        <f t="shared" si="14"/>
        <v>71.349555921538752</v>
      </c>
      <c r="G22" s="45">
        <f t="shared" si="6"/>
        <v>0.99</v>
      </c>
      <c r="H22" s="29">
        <f t="shared" si="15"/>
        <v>36.25</v>
      </c>
      <c r="I22" s="13"/>
      <c r="J22" s="13">
        <v>0.05</v>
      </c>
      <c r="K22" s="29">
        <f t="shared" si="18"/>
        <v>5.25</v>
      </c>
      <c r="L22" s="13">
        <v>31</v>
      </c>
      <c r="M22" s="30">
        <f t="shared" si="11"/>
        <v>1.3452380952380953</v>
      </c>
      <c r="N22" s="6"/>
      <c r="O22" s="25">
        <v>95</v>
      </c>
      <c r="P22" s="25"/>
      <c r="Q22" s="25">
        <v>7.4999999999999997E-2</v>
      </c>
      <c r="R22" s="26">
        <f t="shared" si="19"/>
        <v>7.125</v>
      </c>
      <c r="S22" s="25"/>
      <c r="T22" s="26">
        <f t="shared" si="20"/>
        <v>102.125</v>
      </c>
      <c r="U22" s="25">
        <f t="shared" si="4"/>
        <v>1.075</v>
      </c>
      <c r="V22" s="57">
        <f t="shared" si="8"/>
        <v>1.075</v>
      </c>
    </row>
    <row r="23" spans="1:22" x14ac:dyDescent="0.25">
      <c r="A23" s="9">
        <v>110</v>
      </c>
      <c r="B23" s="28">
        <f t="shared" si="10"/>
        <v>146.5</v>
      </c>
      <c r="C23" s="28">
        <f t="shared" si="12"/>
        <v>35.014087480216972</v>
      </c>
      <c r="D23" s="36">
        <f t="shared" si="16"/>
        <v>47.014087480216972</v>
      </c>
      <c r="E23" s="36">
        <f t="shared" si="13"/>
        <v>147.6991118430775</v>
      </c>
      <c r="F23" s="41">
        <f t="shared" si="14"/>
        <v>73.849555921538752</v>
      </c>
      <c r="G23" s="47">
        <f t="shared" si="6"/>
        <v>1</v>
      </c>
      <c r="H23" s="28">
        <f t="shared" si="15"/>
        <v>36.5</v>
      </c>
      <c r="I23" s="9"/>
      <c r="J23" s="9">
        <v>0.05</v>
      </c>
      <c r="K23" s="28">
        <f t="shared" si="18"/>
        <v>5.5</v>
      </c>
      <c r="L23" s="9">
        <v>31</v>
      </c>
      <c r="M23" s="27">
        <f t="shared" si="11"/>
        <v>1.3318181818181818</v>
      </c>
      <c r="N23" s="6"/>
      <c r="O23" s="25">
        <v>100</v>
      </c>
      <c r="P23" s="25"/>
      <c r="Q23" s="25">
        <v>7.4999999999999997E-2</v>
      </c>
      <c r="R23" s="26">
        <f t="shared" si="19"/>
        <v>7.5</v>
      </c>
      <c r="S23" s="25"/>
      <c r="T23" s="26">
        <f>O23+R23</f>
        <v>107.5</v>
      </c>
      <c r="U23" s="25">
        <f t="shared" si="4"/>
        <v>1.075</v>
      </c>
      <c r="V23" s="57">
        <f t="shared" si="8"/>
        <v>1.075</v>
      </c>
    </row>
    <row r="24" spans="1:22" x14ac:dyDescent="0.25">
      <c r="A24" s="4">
        <v>115</v>
      </c>
      <c r="B24" s="5">
        <f t="shared" si="10"/>
        <v>151.75</v>
      </c>
      <c r="C24" s="5">
        <f t="shared" si="12"/>
        <v>36.605636911135932</v>
      </c>
      <c r="D24" s="34">
        <f t="shared" si="16"/>
        <v>48.605636911135932</v>
      </c>
      <c r="E24" s="34">
        <f t="shared" si="13"/>
        <v>152.69911184307753</v>
      </c>
      <c r="F24" s="39">
        <f t="shared" si="14"/>
        <v>76.349555921538766</v>
      </c>
      <c r="G24" s="46">
        <f t="shared" si="6"/>
        <v>1</v>
      </c>
      <c r="H24" s="5">
        <f t="shared" si="15"/>
        <v>36.75</v>
      </c>
      <c r="I24" s="4"/>
      <c r="J24" s="4">
        <v>0.05</v>
      </c>
      <c r="K24" s="5">
        <f t="shared" si="18"/>
        <v>5.75</v>
      </c>
      <c r="L24" s="4">
        <v>31</v>
      </c>
      <c r="M24" s="7">
        <f t="shared" si="11"/>
        <v>1.3195652173913044</v>
      </c>
      <c r="N24" s="6"/>
      <c r="O24" s="25">
        <v>105</v>
      </c>
      <c r="P24" s="25"/>
      <c r="Q24" s="25">
        <v>7.4999999999999997E-2</v>
      </c>
      <c r="R24" s="26">
        <f t="shared" si="19"/>
        <v>7.875</v>
      </c>
      <c r="S24" s="25"/>
      <c r="T24" s="26">
        <f t="shared" si="20"/>
        <v>112.875</v>
      </c>
      <c r="U24" s="25">
        <f t="shared" si="4"/>
        <v>1.075</v>
      </c>
      <c r="V24" s="57">
        <f t="shared" si="8"/>
        <v>1.075</v>
      </c>
    </row>
    <row r="25" spans="1:22" x14ac:dyDescent="0.25">
      <c r="A25" s="9">
        <v>120</v>
      </c>
      <c r="B25" s="28">
        <f t="shared" si="10"/>
        <v>157</v>
      </c>
      <c r="C25" s="28">
        <f t="shared" si="12"/>
        <v>38.197186342054884</v>
      </c>
      <c r="D25" s="36">
        <f t="shared" si="16"/>
        <v>50.197186342054884</v>
      </c>
      <c r="E25" s="36">
        <f t="shared" si="13"/>
        <v>157.69911184307753</v>
      </c>
      <c r="F25" s="41">
        <f t="shared" si="14"/>
        <v>78.849555921538766</v>
      </c>
      <c r="G25" s="46">
        <f t="shared" si="6"/>
        <v>1</v>
      </c>
      <c r="H25" s="28">
        <f t="shared" si="15"/>
        <v>37</v>
      </c>
      <c r="I25" s="9"/>
      <c r="J25" s="9">
        <v>0.05</v>
      </c>
      <c r="K25" s="28">
        <f t="shared" si="18"/>
        <v>6</v>
      </c>
      <c r="L25" s="9">
        <v>31</v>
      </c>
      <c r="M25" s="27">
        <f t="shared" si="11"/>
        <v>1.3083333333333333</v>
      </c>
      <c r="N25" s="6"/>
      <c r="O25" s="25">
        <v>110</v>
      </c>
      <c r="P25" s="25"/>
      <c r="Q25" s="25">
        <v>7.4999999999999997E-2</v>
      </c>
      <c r="R25" s="26">
        <f t="shared" si="19"/>
        <v>8.25</v>
      </c>
      <c r="S25" s="25"/>
      <c r="T25" s="26">
        <f t="shared" si="20"/>
        <v>118.25</v>
      </c>
      <c r="U25" s="25">
        <f t="shared" si="4"/>
        <v>1.075</v>
      </c>
      <c r="V25" s="57">
        <f t="shared" si="8"/>
        <v>1.075</v>
      </c>
    </row>
    <row r="26" spans="1:22" x14ac:dyDescent="0.25">
      <c r="A26" s="4">
        <v>125</v>
      </c>
      <c r="B26" s="5">
        <f t="shared" si="10"/>
        <v>162.25</v>
      </c>
      <c r="C26" s="5">
        <f t="shared" si="12"/>
        <v>39.788735772973837</v>
      </c>
      <c r="D26" s="34">
        <f t="shared" si="16"/>
        <v>51.788735772973837</v>
      </c>
      <c r="E26" s="34">
        <f t="shared" si="13"/>
        <v>162.69911184307753</v>
      </c>
      <c r="F26" s="39">
        <f t="shared" si="14"/>
        <v>81.349555921538766</v>
      </c>
      <c r="G26" s="46">
        <f t="shared" si="6"/>
        <v>1</v>
      </c>
      <c r="H26" s="5">
        <f t="shared" si="15"/>
        <v>37.25</v>
      </c>
      <c r="I26" s="4"/>
      <c r="J26" s="4">
        <v>0.05</v>
      </c>
      <c r="K26" s="5">
        <f t="shared" si="18"/>
        <v>6.25</v>
      </c>
      <c r="L26" s="4">
        <v>31</v>
      </c>
      <c r="M26" s="7">
        <f t="shared" si="11"/>
        <v>1.298</v>
      </c>
      <c r="N26" s="6"/>
      <c r="O26" s="25">
        <v>115</v>
      </c>
      <c r="P26" s="25"/>
      <c r="Q26" s="25">
        <v>7.4999999999999997E-2</v>
      </c>
      <c r="R26" s="26">
        <f t="shared" si="19"/>
        <v>8.625</v>
      </c>
      <c r="S26" s="25"/>
      <c r="T26" s="26">
        <f t="shared" si="20"/>
        <v>123.625</v>
      </c>
      <c r="U26" s="25">
        <f t="shared" si="4"/>
        <v>1.075</v>
      </c>
      <c r="V26" s="57">
        <f t="shared" si="8"/>
        <v>1.075</v>
      </c>
    </row>
    <row r="27" spans="1:22" x14ac:dyDescent="0.25">
      <c r="A27" s="4">
        <v>130</v>
      </c>
      <c r="B27" s="5">
        <f t="shared" si="10"/>
        <v>167.5</v>
      </c>
      <c r="C27" s="5">
        <f t="shared" si="12"/>
        <v>41.38028520389279</v>
      </c>
      <c r="D27" s="34">
        <f t="shared" si="16"/>
        <v>53.38028520389279</v>
      </c>
      <c r="E27" s="34">
        <f t="shared" si="13"/>
        <v>167.69911184307753</v>
      </c>
      <c r="F27" s="39">
        <f t="shared" si="14"/>
        <v>83.849555921538766</v>
      </c>
      <c r="G27" s="46">
        <f t="shared" si="6"/>
        <v>1</v>
      </c>
      <c r="H27" s="5">
        <f t="shared" si="15"/>
        <v>37.5</v>
      </c>
      <c r="I27" s="4"/>
      <c r="J27" s="4">
        <v>0.05</v>
      </c>
      <c r="K27" s="5">
        <f t="shared" si="18"/>
        <v>6.5</v>
      </c>
      <c r="L27" s="4">
        <v>31</v>
      </c>
      <c r="M27" s="7">
        <f t="shared" si="11"/>
        <v>1.2884615384615385</v>
      </c>
      <c r="N27" s="6"/>
      <c r="O27" s="25">
        <v>120</v>
      </c>
      <c r="P27" s="25"/>
      <c r="Q27" s="25">
        <v>7.4999999999999997E-2</v>
      </c>
      <c r="R27" s="26">
        <f t="shared" si="19"/>
        <v>9</v>
      </c>
      <c r="S27" s="25"/>
      <c r="T27" s="26">
        <f t="shared" si="20"/>
        <v>129</v>
      </c>
      <c r="U27" s="25">
        <f t="shared" si="4"/>
        <v>1.075</v>
      </c>
      <c r="V27" s="57">
        <f t="shared" si="8"/>
        <v>1.075</v>
      </c>
    </row>
    <row r="28" spans="1:22" x14ac:dyDescent="0.25">
      <c r="A28" s="4">
        <v>135</v>
      </c>
      <c r="B28" s="5">
        <f t="shared" si="10"/>
        <v>172.75</v>
      </c>
      <c r="C28" s="5">
        <f t="shared" si="12"/>
        <v>42.971834634811742</v>
      </c>
      <c r="D28" s="34">
        <f t="shared" si="16"/>
        <v>54.971834634811742</v>
      </c>
      <c r="E28" s="34">
        <f t="shared" si="13"/>
        <v>172.6991118430775</v>
      </c>
      <c r="F28" s="39">
        <f t="shared" si="14"/>
        <v>86.349555921538752</v>
      </c>
      <c r="G28" s="46">
        <f t="shared" si="6"/>
        <v>1.01</v>
      </c>
      <c r="H28" s="5">
        <f t="shared" si="15"/>
        <v>37.75</v>
      </c>
      <c r="I28" s="4"/>
      <c r="J28" s="4">
        <v>0.05</v>
      </c>
      <c r="K28" s="5">
        <f t="shared" si="18"/>
        <v>6.75</v>
      </c>
      <c r="L28" s="4">
        <v>31</v>
      </c>
      <c r="M28" s="7">
        <f t="shared" si="11"/>
        <v>1.2796296296296297</v>
      </c>
      <c r="N28" s="6"/>
      <c r="O28" s="25">
        <v>125</v>
      </c>
      <c r="P28" s="25"/>
      <c r="Q28" s="25">
        <v>7.4999999999999997E-2</v>
      </c>
      <c r="R28" s="26">
        <f t="shared" si="19"/>
        <v>9.375</v>
      </c>
      <c r="S28" s="25"/>
      <c r="T28" s="26">
        <f t="shared" si="20"/>
        <v>134.375</v>
      </c>
      <c r="U28" s="25">
        <f t="shared" si="4"/>
        <v>1.075</v>
      </c>
      <c r="V28" s="57">
        <f t="shared" si="8"/>
        <v>1.075</v>
      </c>
    </row>
    <row r="29" spans="1:22" x14ac:dyDescent="0.25">
      <c r="A29" s="4">
        <v>140</v>
      </c>
      <c r="B29" s="5">
        <f t="shared" si="10"/>
        <v>178</v>
      </c>
      <c r="C29" s="5">
        <f t="shared" si="12"/>
        <v>44.563384065730695</v>
      </c>
      <c r="D29" s="34">
        <f t="shared" si="16"/>
        <v>56.563384065730695</v>
      </c>
      <c r="E29" s="34">
        <f t="shared" si="13"/>
        <v>177.6991118430775</v>
      </c>
      <c r="F29" s="39">
        <f t="shared" si="14"/>
        <v>88.849555921538752</v>
      </c>
      <c r="G29" s="46">
        <f t="shared" si="6"/>
        <v>1.01</v>
      </c>
      <c r="H29" s="5">
        <f t="shared" si="15"/>
        <v>38</v>
      </c>
      <c r="I29" s="4"/>
      <c r="J29" s="4">
        <v>0.05</v>
      </c>
      <c r="K29" s="5">
        <f t="shared" si="18"/>
        <v>7</v>
      </c>
      <c r="L29" s="4">
        <v>31</v>
      </c>
      <c r="M29" s="7">
        <f t="shared" si="11"/>
        <v>1.2714285714285714</v>
      </c>
      <c r="N29" s="6"/>
      <c r="O29" s="25">
        <v>130</v>
      </c>
      <c r="P29" s="25"/>
      <c r="Q29" s="25">
        <v>7.4999999999999997E-2</v>
      </c>
      <c r="R29" s="26">
        <f t="shared" si="19"/>
        <v>9.75</v>
      </c>
      <c r="S29" s="25"/>
      <c r="T29" s="26">
        <f t="shared" si="20"/>
        <v>139.75</v>
      </c>
      <c r="U29" s="25">
        <f t="shared" si="4"/>
        <v>1.075</v>
      </c>
      <c r="V29" s="57">
        <f t="shared" si="8"/>
        <v>1.075</v>
      </c>
    </row>
    <row r="30" spans="1:22" x14ac:dyDescent="0.25">
      <c r="A30" s="4">
        <v>145</v>
      </c>
      <c r="B30" s="5">
        <f t="shared" si="10"/>
        <v>183.25</v>
      </c>
      <c r="C30" s="5">
        <f t="shared" si="12"/>
        <v>46.154933496649647</v>
      </c>
      <c r="D30" s="34">
        <f t="shared" si="16"/>
        <v>58.154933496649647</v>
      </c>
      <c r="E30" s="34">
        <f t="shared" si="13"/>
        <v>182.6991118430775</v>
      </c>
      <c r="F30" s="39">
        <f t="shared" si="14"/>
        <v>91.349555921538752</v>
      </c>
      <c r="G30" s="46">
        <f t="shared" si="6"/>
        <v>1.01</v>
      </c>
      <c r="H30" s="5">
        <f t="shared" si="15"/>
        <v>38.25</v>
      </c>
      <c r="I30" s="4"/>
      <c r="J30" s="4">
        <v>0.05</v>
      </c>
      <c r="K30" s="5">
        <f t="shared" si="18"/>
        <v>7.25</v>
      </c>
      <c r="L30" s="4">
        <v>31</v>
      </c>
      <c r="M30" s="7">
        <f t="shared" si="11"/>
        <v>1.2637931034482759</v>
      </c>
      <c r="N30" s="6"/>
      <c r="O30" s="25">
        <v>135</v>
      </c>
      <c r="P30" s="25"/>
      <c r="Q30" s="25">
        <v>7.4999999999999997E-2</v>
      </c>
      <c r="R30" s="26">
        <f t="shared" si="19"/>
        <v>10.125</v>
      </c>
      <c r="S30" s="25"/>
      <c r="T30" s="26">
        <f t="shared" si="20"/>
        <v>145.125</v>
      </c>
      <c r="U30" s="25">
        <f t="shared" si="4"/>
        <v>1.075</v>
      </c>
      <c r="V30" s="57">
        <f t="shared" si="8"/>
        <v>1.075</v>
      </c>
    </row>
    <row r="31" spans="1:22" x14ac:dyDescent="0.25">
      <c r="A31" s="4">
        <v>150</v>
      </c>
      <c r="B31" s="5">
        <f t="shared" si="10"/>
        <v>188.5</v>
      </c>
      <c r="C31" s="5">
        <f t="shared" si="12"/>
        <v>47.7464829275686</v>
      </c>
      <c r="D31" s="34">
        <f t="shared" si="16"/>
        <v>59.7464829275686</v>
      </c>
      <c r="E31" s="34">
        <f t="shared" si="13"/>
        <v>187.6991118430775</v>
      </c>
      <c r="F31" s="39">
        <f t="shared" si="14"/>
        <v>93.849555921538752</v>
      </c>
      <c r="G31" s="46">
        <f t="shared" si="6"/>
        <v>1.01</v>
      </c>
      <c r="H31" s="5">
        <f t="shared" si="15"/>
        <v>38.5</v>
      </c>
      <c r="I31" s="4"/>
      <c r="J31" s="4">
        <v>0.05</v>
      </c>
      <c r="K31" s="5">
        <f t="shared" si="18"/>
        <v>7.5</v>
      </c>
      <c r="L31" s="4">
        <v>31</v>
      </c>
      <c r="M31" s="7">
        <f t="shared" si="11"/>
        <v>1.2566666666666666</v>
      </c>
      <c r="N31" s="6"/>
      <c r="O31" s="25">
        <v>140</v>
      </c>
      <c r="P31" s="25"/>
      <c r="Q31" s="25">
        <v>0.09</v>
      </c>
      <c r="R31" s="26">
        <f>O31*Q31</f>
        <v>12.6</v>
      </c>
      <c r="S31" s="25"/>
      <c r="T31" s="26">
        <f>O31+R31</f>
        <v>152.6</v>
      </c>
      <c r="U31" s="25">
        <f t="shared" si="4"/>
        <v>1.0899999999999999</v>
      </c>
      <c r="V31" s="57">
        <f t="shared" si="8"/>
        <v>1.0899999999999999</v>
      </c>
    </row>
    <row r="32" spans="1:22" x14ac:dyDescent="0.25">
      <c r="A32" s="9">
        <v>155</v>
      </c>
      <c r="B32" s="28">
        <f t="shared" si="10"/>
        <v>193.75</v>
      </c>
      <c r="C32" s="28">
        <f t="shared" si="12"/>
        <v>49.338032358487553</v>
      </c>
      <c r="D32" s="36">
        <f t="shared" si="16"/>
        <v>61.338032358487553</v>
      </c>
      <c r="E32" s="36">
        <f t="shared" si="13"/>
        <v>192.6991118430775</v>
      </c>
      <c r="F32" s="41">
        <f t="shared" si="14"/>
        <v>96.349555921538752</v>
      </c>
      <c r="G32" s="46">
        <f t="shared" si="6"/>
        <v>1.01</v>
      </c>
      <c r="H32" s="28">
        <f t="shared" si="15"/>
        <v>38.75</v>
      </c>
      <c r="I32" s="9"/>
      <c r="J32" s="9">
        <v>0.05</v>
      </c>
      <c r="K32" s="28">
        <f t="shared" si="18"/>
        <v>7.75</v>
      </c>
      <c r="L32" s="9">
        <v>31</v>
      </c>
      <c r="M32" s="27">
        <f t="shared" si="11"/>
        <v>1.25</v>
      </c>
      <c r="N32" s="6"/>
      <c r="O32" s="25">
        <v>145</v>
      </c>
      <c r="P32" s="25"/>
      <c r="Q32" s="25">
        <v>0.09</v>
      </c>
      <c r="R32" s="26">
        <f t="shared" si="19"/>
        <v>13.049999999999999</v>
      </c>
      <c r="S32" s="25"/>
      <c r="T32" s="26">
        <f t="shared" si="20"/>
        <v>158.05000000000001</v>
      </c>
      <c r="U32" s="25">
        <f t="shared" si="4"/>
        <v>1.0900000000000001</v>
      </c>
      <c r="V32" s="57">
        <f t="shared" si="8"/>
        <v>1.0900000000000001</v>
      </c>
    </row>
    <row r="33" spans="1:22" x14ac:dyDescent="0.25">
      <c r="A33" s="4">
        <v>160</v>
      </c>
      <c r="B33" s="5">
        <f t="shared" si="10"/>
        <v>199</v>
      </c>
      <c r="C33" s="5">
        <f t="shared" si="12"/>
        <v>50.929581789406512</v>
      </c>
      <c r="D33" s="34">
        <f t="shared" si="16"/>
        <v>62.929581789406512</v>
      </c>
      <c r="E33" s="34">
        <f t="shared" si="13"/>
        <v>197.69911184307753</v>
      </c>
      <c r="F33" s="39">
        <f t="shared" si="14"/>
        <v>98.849555921538766</v>
      </c>
      <c r="G33" s="46">
        <f t="shared" si="6"/>
        <v>1.01</v>
      </c>
      <c r="H33" s="5">
        <f t="shared" si="15"/>
        <v>39</v>
      </c>
      <c r="I33" s="4"/>
      <c r="J33" s="4">
        <v>0.05</v>
      </c>
      <c r="K33" s="5">
        <f t="shared" si="18"/>
        <v>8</v>
      </c>
      <c r="L33" s="4">
        <v>31</v>
      </c>
      <c r="M33" s="7">
        <f t="shared" si="11"/>
        <v>1.2437499999999999</v>
      </c>
      <c r="N33" s="6"/>
      <c r="O33" s="25">
        <v>150</v>
      </c>
      <c r="P33" s="25"/>
      <c r="Q33" s="25">
        <v>0.1</v>
      </c>
      <c r="R33" s="26">
        <f t="shared" si="19"/>
        <v>15</v>
      </c>
      <c r="S33" s="25"/>
      <c r="T33" s="26">
        <f t="shared" si="20"/>
        <v>165</v>
      </c>
      <c r="U33" s="25">
        <f t="shared" si="4"/>
        <v>1.1000000000000001</v>
      </c>
      <c r="V33" s="57">
        <f t="shared" si="8"/>
        <v>1.1000000000000001</v>
      </c>
    </row>
    <row r="34" spans="1:22" x14ac:dyDescent="0.25">
      <c r="A34" s="4">
        <v>165</v>
      </c>
      <c r="B34" s="5">
        <f t="shared" si="10"/>
        <v>204.25</v>
      </c>
      <c r="C34" s="5">
        <f t="shared" si="12"/>
        <v>52.521131220325465</v>
      </c>
      <c r="D34" s="34">
        <f t="shared" si="16"/>
        <v>64.521131220325458</v>
      </c>
      <c r="E34" s="34">
        <f t="shared" si="13"/>
        <v>202.6991118430775</v>
      </c>
      <c r="F34" s="39">
        <f t="shared" si="14"/>
        <v>101.34955592153875</v>
      </c>
      <c r="G34" s="46">
        <f t="shared" si="6"/>
        <v>1.01</v>
      </c>
      <c r="H34" s="5">
        <f t="shared" si="15"/>
        <v>39.25</v>
      </c>
      <c r="I34" s="4"/>
      <c r="J34" s="4">
        <v>0.05</v>
      </c>
      <c r="K34" s="5">
        <f t="shared" si="18"/>
        <v>8.25</v>
      </c>
      <c r="L34" s="4">
        <v>31</v>
      </c>
      <c r="M34" s="7">
        <f t="shared" si="11"/>
        <v>1.2378787878787878</v>
      </c>
      <c r="N34" s="6"/>
      <c r="O34" s="25">
        <v>155</v>
      </c>
      <c r="P34" s="25"/>
      <c r="Q34" s="25">
        <v>0.1</v>
      </c>
      <c r="R34" s="26">
        <f t="shared" si="19"/>
        <v>15.5</v>
      </c>
      <c r="S34" s="25"/>
      <c r="T34" s="26">
        <f t="shared" si="20"/>
        <v>170.5</v>
      </c>
      <c r="U34" s="25">
        <f t="shared" si="4"/>
        <v>1.1000000000000001</v>
      </c>
      <c r="V34" s="57">
        <f t="shared" si="8"/>
        <v>1.1000000000000001</v>
      </c>
    </row>
    <row r="35" spans="1:22" x14ac:dyDescent="0.25">
      <c r="A35" s="4">
        <v>170</v>
      </c>
      <c r="B35" s="5">
        <f t="shared" si="10"/>
        <v>209.5</v>
      </c>
      <c r="C35" s="5">
        <f t="shared" si="12"/>
        <v>54.112680651244418</v>
      </c>
      <c r="D35" s="34">
        <f t="shared" si="16"/>
        <v>66.112680651244418</v>
      </c>
      <c r="E35" s="34">
        <f t="shared" si="13"/>
        <v>207.69911184307753</v>
      </c>
      <c r="F35" s="39">
        <f t="shared" si="14"/>
        <v>103.84955592153877</v>
      </c>
      <c r="G35" s="46">
        <f t="shared" si="6"/>
        <v>1.01</v>
      </c>
      <c r="H35" s="5">
        <f t="shared" si="15"/>
        <v>39.5</v>
      </c>
      <c r="I35" s="4"/>
      <c r="J35" s="4">
        <v>0.05</v>
      </c>
      <c r="K35" s="5">
        <f t="shared" si="18"/>
        <v>8.5</v>
      </c>
      <c r="L35" s="4">
        <v>31</v>
      </c>
      <c r="M35" s="7">
        <f t="shared" si="11"/>
        <v>1.2323529411764707</v>
      </c>
      <c r="N35" s="6"/>
      <c r="O35" s="25">
        <v>160</v>
      </c>
      <c r="P35" s="25"/>
      <c r="Q35" s="25">
        <v>0.1</v>
      </c>
      <c r="R35" s="26">
        <f t="shared" si="19"/>
        <v>16</v>
      </c>
      <c r="S35" s="25"/>
      <c r="T35" s="26">
        <f t="shared" si="20"/>
        <v>176</v>
      </c>
      <c r="U35" s="25">
        <f t="shared" si="4"/>
        <v>1.1000000000000001</v>
      </c>
      <c r="V35" s="57">
        <f t="shared" si="8"/>
        <v>1.1000000000000001</v>
      </c>
    </row>
    <row r="36" spans="1:22" ht="16.5" thickBot="1" x14ac:dyDescent="0.3">
      <c r="A36" s="13">
        <v>175</v>
      </c>
      <c r="B36" s="29">
        <f t="shared" si="10"/>
        <v>214.75</v>
      </c>
      <c r="C36" s="29">
        <f t="shared" si="12"/>
        <v>55.70423008216337</v>
      </c>
      <c r="D36" s="35">
        <f t="shared" si="16"/>
        <v>67.704230082163377</v>
      </c>
      <c r="E36" s="35">
        <f t="shared" si="13"/>
        <v>212.69911184307753</v>
      </c>
      <c r="F36" s="40">
        <f t="shared" si="14"/>
        <v>106.34955592153877</v>
      </c>
      <c r="G36" s="45">
        <f t="shared" si="6"/>
        <v>1.01</v>
      </c>
      <c r="H36" s="29">
        <f t="shared" si="15"/>
        <v>39.75</v>
      </c>
      <c r="I36" s="13"/>
      <c r="J36" s="13">
        <v>0.05</v>
      </c>
      <c r="K36" s="29">
        <f t="shared" si="18"/>
        <v>8.75</v>
      </c>
      <c r="L36" s="13">
        <v>31</v>
      </c>
      <c r="M36" s="30">
        <f t="shared" si="11"/>
        <v>1.2271428571428571</v>
      </c>
      <c r="N36" s="6"/>
      <c r="O36" s="25">
        <v>165</v>
      </c>
      <c r="P36" s="25"/>
      <c r="Q36" s="25">
        <v>0.1</v>
      </c>
      <c r="R36" s="26">
        <f t="shared" si="19"/>
        <v>16.5</v>
      </c>
      <c r="S36" s="25"/>
      <c r="T36" s="26">
        <f t="shared" si="20"/>
        <v>181.5</v>
      </c>
      <c r="U36" s="25">
        <f t="shared" si="4"/>
        <v>1.1000000000000001</v>
      </c>
      <c r="V36" s="57">
        <f t="shared" si="8"/>
        <v>1.1000000000000001</v>
      </c>
    </row>
    <row r="37" spans="1:22" x14ac:dyDescent="0.25">
      <c r="A37" s="9">
        <v>180</v>
      </c>
      <c r="B37" s="28">
        <f t="shared" si="10"/>
        <v>220</v>
      </c>
      <c r="C37" s="28">
        <f t="shared" si="12"/>
        <v>57.295779513082323</v>
      </c>
      <c r="D37" s="36">
        <f t="shared" si="16"/>
        <v>69.295779513082323</v>
      </c>
      <c r="E37" s="36">
        <f t="shared" si="13"/>
        <v>217.6991118430775</v>
      </c>
      <c r="F37" s="41">
        <f t="shared" si="14"/>
        <v>108.84955592153875</v>
      </c>
      <c r="G37" s="47">
        <f t="shared" si="6"/>
        <v>1.02</v>
      </c>
      <c r="H37" s="28">
        <f t="shared" si="15"/>
        <v>40</v>
      </c>
      <c r="I37" s="9"/>
      <c r="J37" s="9">
        <v>0.05</v>
      </c>
      <c r="K37" s="28">
        <f t="shared" si="18"/>
        <v>9</v>
      </c>
      <c r="L37" s="9">
        <v>31</v>
      </c>
      <c r="M37" s="27">
        <f t="shared" si="11"/>
        <v>1.2222222222222223</v>
      </c>
      <c r="N37" s="6"/>
      <c r="O37" s="25">
        <v>170</v>
      </c>
      <c r="P37" s="25"/>
      <c r="Q37" s="25">
        <v>0.1</v>
      </c>
      <c r="R37" s="26">
        <f t="shared" si="19"/>
        <v>17</v>
      </c>
      <c r="S37" s="25"/>
      <c r="T37" s="26">
        <f t="shared" si="20"/>
        <v>187</v>
      </c>
      <c r="U37" s="25">
        <f t="shared" si="4"/>
        <v>1.1000000000000001</v>
      </c>
      <c r="V37" s="57">
        <f t="shared" si="8"/>
        <v>1.1000000000000001</v>
      </c>
    </row>
    <row r="38" spans="1:22" x14ac:dyDescent="0.25">
      <c r="A38" s="4">
        <v>185</v>
      </c>
      <c r="B38" s="5">
        <f t="shared" si="10"/>
        <v>225.25</v>
      </c>
      <c r="C38" s="5">
        <f t="shared" si="12"/>
        <v>58.887328944001275</v>
      </c>
      <c r="D38" s="34">
        <f t="shared" si="16"/>
        <v>70.887328944001268</v>
      </c>
      <c r="E38" s="34">
        <f t="shared" si="13"/>
        <v>222.6991118430775</v>
      </c>
      <c r="F38" s="39">
        <f t="shared" si="14"/>
        <v>111.34955592153875</v>
      </c>
      <c r="G38" s="46">
        <f t="shared" si="6"/>
        <v>1.02</v>
      </c>
      <c r="H38" s="5">
        <f t="shared" si="15"/>
        <v>40.25</v>
      </c>
      <c r="I38" s="4"/>
      <c r="J38" s="4">
        <v>0.05</v>
      </c>
      <c r="K38" s="5">
        <f t="shared" si="18"/>
        <v>9.25</v>
      </c>
      <c r="L38" s="4">
        <v>31</v>
      </c>
      <c r="M38" s="7">
        <f t="shared" si="11"/>
        <v>1.2175675675675677</v>
      </c>
      <c r="N38" s="6"/>
      <c r="O38" s="25">
        <v>175</v>
      </c>
      <c r="P38" s="25"/>
      <c r="Q38" s="25">
        <v>0.1</v>
      </c>
      <c r="R38" s="26">
        <f t="shared" si="19"/>
        <v>17.5</v>
      </c>
      <c r="S38" s="25"/>
      <c r="T38" s="26">
        <f t="shared" si="20"/>
        <v>192.5</v>
      </c>
      <c r="U38" s="25">
        <f t="shared" si="4"/>
        <v>1.1000000000000001</v>
      </c>
      <c r="V38" s="57">
        <f t="shared" si="8"/>
        <v>1.1000000000000001</v>
      </c>
    </row>
    <row r="39" spans="1:22" x14ac:dyDescent="0.25">
      <c r="A39" s="4">
        <v>190</v>
      </c>
      <c r="B39" s="5">
        <f t="shared" si="10"/>
        <v>230.5</v>
      </c>
      <c r="C39" s="5">
        <f t="shared" si="12"/>
        <v>60.478878374920228</v>
      </c>
      <c r="D39" s="34">
        <f t="shared" si="16"/>
        <v>72.478878374920228</v>
      </c>
      <c r="E39" s="34">
        <f t="shared" si="13"/>
        <v>227.6991118430775</v>
      </c>
      <c r="F39" s="39">
        <f t="shared" si="14"/>
        <v>113.84955592153875</v>
      </c>
      <c r="G39" s="46">
        <f t="shared" si="6"/>
        <v>1.02</v>
      </c>
      <c r="H39" s="5">
        <f t="shared" si="15"/>
        <v>40.5</v>
      </c>
      <c r="I39" s="4"/>
      <c r="J39" s="4">
        <v>0.05</v>
      </c>
      <c r="K39" s="5">
        <f t="shared" si="18"/>
        <v>9.5</v>
      </c>
      <c r="L39" s="4">
        <v>31</v>
      </c>
      <c r="M39" s="7">
        <f t="shared" si="11"/>
        <v>1.2131578947368422</v>
      </c>
      <c r="N39" s="6"/>
      <c r="O39" s="25">
        <v>180</v>
      </c>
      <c r="P39" s="25"/>
      <c r="Q39" s="25">
        <v>0.1</v>
      </c>
      <c r="R39" s="26">
        <f t="shared" si="19"/>
        <v>18</v>
      </c>
      <c r="S39" s="25"/>
      <c r="T39" s="26">
        <f t="shared" si="20"/>
        <v>198</v>
      </c>
      <c r="U39" s="25">
        <f t="shared" si="4"/>
        <v>1.1000000000000001</v>
      </c>
      <c r="V39" s="57">
        <f t="shared" si="8"/>
        <v>1.1000000000000001</v>
      </c>
    </row>
    <row r="40" spans="1:22" x14ac:dyDescent="0.25">
      <c r="A40" s="4">
        <v>195</v>
      </c>
      <c r="B40" s="5">
        <f t="shared" si="10"/>
        <v>235.75</v>
      </c>
      <c r="C40" s="5">
        <f t="shared" si="12"/>
        <v>62.070427805839181</v>
      </c>
      <c r="D40" s="34">
        <f t="shared" si="16"/>
        <v>74.070427805839188</v>
      </c>
      <c r="E40" s="34">
        <f t="shared" si="13"/>
        <v>232.69911184307753</v>
      </c>
      <c r="F40" s="39">
        <f t="shared" si="14"/>
        <v>116.34955592153877</v>
      </c>
      <c r="G40" s="46">
        <f t="shared" si="6"/>
        <v>1.02</v>
      </c>
      <c r="H40" s="5">
        <f t="shared" si="15"/>
        <v>40.75</v>
      </c>
      <c r="I40" s="4"/>
      <c r="J40" s="4">
        <v>0.05</v>
      </c>
      <c r="K40" s="5">
        <f t="shared" si="18"/>
        <v>9.75</v>
      </c>
      <c r="L40" s="4">
        <v>31</v>
      </c>
      <c r="M40" s="7">
        <f t="shared" si="11"/>
        <v>1.2089743589743589</v>
      </c>
      <c r="N40" s="6"/>
      <c r="O40" s="25">
        <v>185</v>
      </c>
      <c r="P40" s="25"/>
      <c r="Q40" s="25">
        <v>0.1</v>
      </c>
      <c r="R40" s="26">
        <f t="shared" si="19"/>
        <v>18.5</v>
      </c>
      <c r="S40" s="25"/>
      <c r="T40" s="26">
        <f t="shared" si="20"/>
        <v>203.5</v>
      </c>
      <c r="U40" s="25">
        <f t="shared" si="4"/>
        <v>1.1000000000000001</v>
      </c>
      <c r="V40" s="57">
        <f t="shared" si="8"/>
        <v>1.1000000000000001</v>
      </c>
    </row>
    <row r="41" spans="1:22" x14ac:dyDescent="0.25">
      <c r="A41" s="4">
        <v>200</v>
      </c>
      <c r="B41" s="5">
        <f t="shared" ref="B41:B72" si="21">A41+K41+L41</f>
        <v>241</v>
      </c>
      <c r="C41" s="5">
        <f t="shared" si="12"/>
        <v>63.661977236758133</v>
      </c>
      <c r="D41" s="34">
        <f t="shared" si="16"/>
        <v>75.661977236758133</v>
      </c>
      <c r="E41" s="34">
        <f t="shared" si="13"/>
        <v>237.6991118430775</v>
      </c>
      <c r="F41" s="39">
        <f t="shared" si="14"/>
        <v>118.84955592153875</v>
      </c>
      <c r="G41" s="46">
        <f t="shared" si="6"/>
        <v>1.02</v>
      </c>
      <c r="H41" s="5">
        <f t="shared" si="15"/>
        <v>41</v>
      </c>
      <c r="I41" s="4"/>
      <c r="J41" s="4">
        <v>0.05</v>
      </c>
      <c r="K41" s="5">
        <f t="shared" si="18"/>
        <v>10</v>
      </c>
      <c r="L41" s="4">
        <v>31</v>
      </c>
      <c r="M41" s="7">
        <f t="shared" ref="M41:M73" si="22">B41/A41</f>
        <v>1.2050000000000001</v>
      </c>
      <c r="N41" s="6"/>
      <c r="O41" s="25">
        <v>190</v>
      </c>
      <c r="P41" s="25"/>
      <c r="Q41" s="25">
        <v>0.1</v>
      </c>
      <c r="R41" s="26">
        <f t="shared" si="19"/>
        <v>19</v>
      </c>
      <c r="S41" s="25"/>
      <c r="T41" s="26">
        <f t="shared" si="20"/>
        <v>209</v>
      </c>
      <c r="U41" s="25">
        <f t="shared" si="4"/>
        <v>1.1000000000000001</v>
      </c>
      <c r="V41" s="57">
        <f t="shared" si="8"/>
        <v>1.1000000000000001</v>
      </c>
    </row>
    <row r="42" spans="1:22" x14ac:dyDescent="0.25">
      <c r="A42" s="4">
        <v>205</v>
      </c>
      <c r="B42" s="5">
        <f t="shared" si="21"/>
        <v>246.25</v>
      </c>
      <c r="C42" s="5">
        <f t="shared" si="12"/>
        <v>65.253526667677093</v>
      </c>
      <c r="D42" s="34">
        <f t="shared" si="16"/>
        <v>77.253526667677093</v>
      </c>
      <c r="E42" s="34">
        <f t="shared" si="13"/>
        <v>242.69911184307753</v>
      </c>
      <c r="F42" s="39">
        <f t="shared" si="14"/>
        <v>121.34955592153877</v>
      </c>
      <c r="G42" s="46">
        <f t="shared" si="6"/>
        <v>1.02</v>
      </c>
      <c r="H42" s="5">
        <f t="shared" si="15"/>
        <v>41.25</v>
      </c>
      <c r="I42" s="4"/>
      <c r="J42" s="4">
        <v>0.05</v>
      </c>
      <c r="K42" s="5">
        <f t="shared" si="18"/>
        <v>10.25</v>
      </c>
      <c r="L42" s="4">
        <v>31</v>
      </c>
      <c r="M42" s="7">
        <f t="shared" si="22"/>
        <v>1.2012195121951219</v>
      </c>
      <c r="N42" s="6"/>
      <c r="O42" s="25">
        <v>195</v>
      </c>
      <c r="P42" s="25"/>
      <c r="Q42" s="25">
        <v>0.1</v>
      </c>
      <c r="R42" s="26">
        <f t="shared" si="19"/>
        <v>19.5</v>
      </c>
      <c r="S42" s="25"/>
      <c r="T42" s="26">
        <f t="shared" si="20"/>
        <v>214.5</v>
      </c>
      <c r="U42" s="25">
        <f t="shared" si="4"/>
        <v>1.1000000000000001</v>
      </c>
      <c r="V42" s="57">
        <f t="shared" si="8"/>
        <v>1.1000000000000001</v>
      </c>
    </row>
    <row r="43" spans="1:22" x14ac:dyDescent="0.25">
      <c r="A43" s="9">
        <v>210</v>
      </c>
      <c r="B43" s="28">
        <f t="shared" si="21"/>
        <v>251.5</v>
      </c>
      <c r="C43" s="28">
        <f t="shared" si="12"/>
        <v>66.845076098596039</v>
      </c>
      <c r="D43" s="36">
        <f t="shared" si="16"/>
        <v>78.845076098596039</v>
      </c>
      <c r="E43" s="36">
        <f t="shared" si="13"/>
        <v>247.6991118430775</v>
      </c>
      <c r="F43" s="41">
        <f t="shared" si="14"/>
        <v>123.84955592153875</v>
      </c>
      <c r="G43" s="46">
        <f t="shared" si="6"/>
        <v>1.02</v>
      </c>
      <c r="H43" s="28">
        <f t="shared" si="15"/>
        <v>41.5</v>
      </c>
      <c r="I43" s="9"/>
      <c r="J43" s="9">
        <v>0.05</v>
      </c>
      <c r="K43" s="28">
        <f t="shared" si="18"/>
        <v>10.5</v>
      </c>
      <c r="L43" s="9">
        <v>31</v>
      </c>
      <c r="M43" s="27">
        <f t="shared" si="22"/>
        <v>1.1976190476190476</v>
      </c>
      <c r="N43" s="6"/>
      <c r="O43" s="25">
        <v>200</v>
      </c>
      <c r="P43" s="25"/>
      <c r="Q43" s="25">
        <v>0.1</v>
      </c>
      <c r="R43" s="26">
        <f t="shared" si="19"/>
        <v>20</v>
      </c>
      <c r="S43" s="25"/>
      <c r="T43" s="26">
        <f t="shared" si="20"/>
        <v>220</v>
      </c>
      <c r="U43" s="25">
        <f t="shared" si="4"/>
        <v>1.1000000000000001</v>
      </c>
      <c r="V43" s="57">
        <f t="shared" si="8"/>
        <v>1.1000000000000001</v>
      </c>
    </row>
    <row r="44" spans="1:22" x14ac:dyDescent="0.25">
      <c r="A44" s="4">
        <v>215</v>
      </c>
      <c r="B44" s="5">
        <f t="shared" si="21"/>
        <v>256.75</v>
      </c>
      <c r="C44" s="5">
        <f t="shared" si="12"/>
        <v>68.436625529514998</v>
      </c>
      <c r="D44" s="34">
        <f t="shared" si="16"/>
        <v>80.436625529514998</v>
      </c>
      <c r="E44" s="34">
        <f t="shared" si="13"/>
        <v>252.69911184307753</v>
      </c>
      <c r="F44" s="39">
        <f t="shared" si="14"/>
        <v>126.34955592153877</v>
      </c>
      <c r="G44" s="46">
        <f t="shared" si="6"/>
        <v>1.02</v>
      </c>
      <c r="H44" s="5">
        <f t="shared" si="15"/>
        <v>41.75</v>
      </c>
      <c r="I44" s="4"/>
      <c r="J44" s="4">
        <v>0.05</v>
      </c>
      <c r="K44" s="5">
        <f t="shared" ref="K44:K75" si="23">A44*J44</f>
        <v>10.75</v>
      </c>
      <c r="L44" s="4">
        <v>31</v>
      </c>
      <c r="M44" s="7">
        <f t="shared" si="22"/>
        <v>1.1941860465116279</v>
      </c>
      <c r="N44" s="6"/>
      <c r="O44" s="25">
        <v>205</v>
      </c>
      <c r="P44" s="25"/>
      <c r="Q44" s="25">
        <v>0.1</v>
      </c>
      <c r="R44" s="26">
        <f t="shared" si="19"/>
        <v>20.5</v>
      </c>
      <c r="S44" s="25"/>
      <c r="T44" s="26">
        <f t="shared" si="20"/>
        <v>225.5</v>
      </c>
      <c r="U44" s="25">
        <f t="shared" si="4"/>
        <v>1.1000000000000001</v>
      </c>
      <c r="V44" s="57">
        <f t="shared" si="8"/>
        <v>1.1000000000000001</v>
      </c>
    </row>
    <row r="45" spans="1:22" x14ac:dyDescent="0.25">
      <c r="A45" s="4">
        <v>220</v>
      </c>
      <c r="B45" s="5">
        <f t="shared" si="21"/>
        <v>262</v>
      </c>
      <c r="C45" s="5">
        <f t="shared" si="12"/>
        <v>70.028174960433944</v>
      </c>
      <c r="D45" s="34">
        <f t="shared" si="16"/>
        <v>82.028174960433944</v>
      </c>
      <c r="E45" s="34">
        <f t="shared" si="13"/>
        <v>257.6991118430775</v>
      </c>
      <c r="F45" s="39">
        <f t="shared" si="14"/>
        <v>128.84955592153875</v>
      </c>
      <c r="G45" s="46">
        <f t="shared" si="6"/>
        <v>1.02</v>
      </c>
      <c r="H45" s="5">
        <f t="shared" si="15"/>
        <v>42</v>
      </c>
      <c r="I45" s="4"/>
      <c r="J45" s="4">
        <v>0.05</v>
      </c>
      <c r="K45" s="5">
        <f t="shared" si="23"/>
        <v>11</v>
      </c>
      <c r="L45" s="4">
        <v>31</v>
      </c>
      <c r="M45" s="7">
        <f t="shared" si="22"/>
        <v>1.1909090909090909</v>
      </c>
      <c r="N45" s="6"/>
      <c r="O45" s="25">
        <v>210</v>
      </c>
      <c r="P45" s="25"/>
      <c r="Q45" s="25">
        <v>0.1</v>
      </c>
      <c r="R45" s="26">
        <f t="shared" si="19"/>
        <v>21</v>
      </c>
      <c r="S45" s="25"/>
      <c r="T45" s="26">
        <f t="shared" si="20"/>
        <v>231</v>
      </c>
      <c r="U45" s="25">
        <f t="shared" si="4"/>
        <v>1.1000000000000001</v>
      </c>
      <c r="V45" s="57">
        <f t="shared" si="8"/>
        <v>1.1000000000000001</v>
      </c>
    </row>
    <row r="46" spans="1:22" x14ac:dyDescent="0.25">
      <c r="A46" s="4">
        <v>225</v>
      </c>
      <c r="B46" s="5">
        <f t="shared" si="21"/>
        <v>267.25</v>
      </c>
      <c r="C46" s="5">
        <f t="shared" si="12"/>
        <v>71.619724391352904</v>
      </c>
      <c r="D46" s="34">
        <f t="shared" si="16"/>
        <v>83.619724391352904</v>
      </c>
      <c r="E46" s="34">
        <f t="shared" si="13"/>
        <v>262.6991118430775</v>
      </c>
      <c r="F46" s="39">
        <f t="shared" si="14"/>
        <v>131.34955592153875</v>
      </c>
      <c r="G46" s="46">
        <f t="shared" si="6"/>
        <v>1.02</v>
      </c>
      <c r="H46" s="5">
        <f t="shared" si="15"/>
        <v>42.25</v>
      </c>
      <c r="I46" s="4"/>
      <c r="J46" s="4">
        <v>0.05</v>
      </c>
      <c r="K46" s="5">
        <f t="shared" si="23"/>
        <v>11.25</v>
      </c>
      <c r="L46" s="4">
        <v>31</v>
      </c>
      <c r="M46" s="7">
        <f t="shared" si="22"/>
        <v>1.1877777777777778</v>
      </c>
      <c r="N46" s="6"/>
      <c r="O46" s="25">
        <v>215</v>
      </c>
      <c r="P46" s="25"/>
      <c r="Q46" s="25">
        <v>0.1</v>
      </c>
      <c r="R46" s="26">
        <f t="shared" si="19"/>
        <v>21.5</v>
      </c>
      <c r="S46" s="25"/>
      <c r="T46" s="26">
        <f t="shared" si="20"/>
        <v>236.5</v>
      </c>
      <c r="U46" s="25">
        <f t="shared" si="4"/>
        <v>1.1000000000000001</v>
      </c>
      <c r="V46" s="57">
        <f t="shared" si="8"/>
        <v>1.1000000000000001</v>
      </c>
    </row>
    <row r="47" spans="1:22" x14ac:dyDescent="0.25">
      <c r="A47" s="4">
        <v>230</v>
      </c>
      <c r="B47" s="5">
        <f t="shared" si="21"/>
        <v>272.5</v>
      </c>
      <c r="C47" s="5">
        <f t="shared" si="12"/>
        <v>73.211273822271863</v>
      </c>
      <c r="D47" s="34">
        <f t="shared" si="16"/>
        <v>85.211273822271863</v>
      </c>
      <c r="E47" s="34">
        <f t="shared" si="13"/>
        <v>267.69911184307756</v>
      </c>
      <c r="F47" s="39">
        <f t="shared" si="14"/>
        <v>133.84955592153878</v>
      </c>
      <c r="G47" s="46">
        <f t="shared" si="6"/>
        <v>1.02</v>
      </c>
      <c r="H47" s="5">
        <f t="shared" si="15"/>
        <v>42.5</v>
      </c>
      <c r="I47" s="4"/>
      <c r="J47" s="4">
        <v>0.05</v>
      </c>
      <c r="K47" s="5">
        <f t="shared" si="23"/>
        <v>11.5</v>
      </c>
      <c r="L47" s="4">
        <v>31</v>
      </c>
      <c r="M47" s="7">
        <f t="shared" si="22"/>
        <v>1.1847826086956521</v>
      </c>
      <c r="N47" s="6"/>
      <c r="O47" s="25">
        <v>220</v>
      </c>
      <c r="P47" s="25"/>
      <c r="Q47" s="25">
        <v>0.1</v>
      </c>
      <c r="R47" s="26">
        <f t="shared" si="19"/>
        <v>22</v>
      </c>
      <c r="S47" s="25"/>
      <c r="T47" s="26">
        <f t="shared" si="20"/>
        <v>242</v>
      </c>
      <c r="U47" s="25">
        <f t="shared" si="4"/>
        <v>1.1000000000000001</v>
      </c>
      <c r="V47" s="57">
        <f t="shared" si="8"/>
        <v>1.1000000000000001</v>
      </c>
    </row>
    <row r="48" spans="1:22" x14ac:dyDescent="0.25">
      <c r="A48" s="4">
        <v>235</v>
      </c>
      <c r="B48" s="5">
        <f t="shared" si="21"/>
        <v>277.75</v>
      </c>
      <c r="C48" s="5">
        <f t="shared" si="12"/>
        <v>74.802823253190809</v>
      </c>
      <c r="D48" s="34">
        <f t="shared" si="16"/>
        <v>86.802823253190809</v>
      </c>
      <c r="E48" s="34">
        <f t="shared" si="13"/>
        <v>272.6991118430775</v>
      </c>
      <c r="F48" s="39">
        <f t="shared" si="14"/>
        <v>136.34955592153875</v>
      </c>
      <c r="G48" s="46">
        <f t="shared" si="6"/>
        <v>1.02</v>
      </c>
      <c r="H48" s="5">
        <f t="shared" si="15"/>
        <v>42.75</v>
      </c>
      <c r="I48" s="4"/>
      <c r="J48" s="4">
        <v>0.05</v>
      </c>
      <c r="K48" s="5">
        <f t="shared" si="23"/>
        <v>11.75</v>
      </c>
      <c r="L48" s="4">
        <v>31</v>
      </c>
      <c r="M48" s="7">
        <f t="shared" si="22"/>
        <v>1.1819148936170212</v>
      </c>
      <c r="N48" s="6"/>
    </row>
    <row r="49" spans="1:14" x14ac:dyDescent="0.25">
      <c r="A49" s="4">
        <v>240</v>
      </c>
      <c r="B49" s="5">
        <f t="shared" si="21"/>
        <v>283</v>
      </c>
      <c r="C49" s="5">
        <f t="shared" si="12"/>
        <v>76.394372684109769</v>
      </c>
      <c r="D49" s="34">
        <f t="shared" si="16"/>
        <v>88.394372684109769</v>
      </c>
      <c r="E49" s="34">
        <f t="shared" si="13"/>
        <v>277.6991118430775</v>
      </c>
      <c r="F49" s="39">
        <f t="shared" si="14"/>
        <v>138.84955592153875</v>
      </c>
      <c r="G49" s="46">
        <f t="shared" si="6"/>
        <v>1.02</v>
      </c>
      <c r="H49" s="5">
        <f t="shared" si="15"/>
        <v>43</v>
      </c>
      <c r="I49" s="4"/>
      <c r="J49" s="4">
        <v>0.05</v>
      </c>
      <c r="K49" s="5">
        <f t="shared" si="23"/>
        <v>12</v>
      </c>
      <c r="L49" s="4">
        <v>31</v>
      </c>
      <c r="M49" s="7">
        <f t="shared" si="22"/>
        <v>1.1791666666666667</v>
      </c>
      <c r="N49" s="6"/>
    </row>
    <row r="50" spans="1:14" ht="16.5" thickBot="1" x14ac:dyDescent="0.3">
      <c r="A50" s="13">
        <v>245</v>
      </c>
      <c r="B50" s="29">
        <f t="shared" si="21"/>
        <v>288.25</v>
      </c>
      <c r="C50" s="29">
        <f t="shared" si="12"/>
        <v>77.985922115028714</v>
      </c>
      <c r="D50" s="35">
        <f t="shared" si="16"/>
        <v>89.985922115028714</v>
      </c>
      <c r="E50" s="35">
        <f t="shared" si="13"/>
        <v>282.6991118430775</v>
      </c>
      <c r="F50" s="40">
        <f t="shared" si="14"/>
        <v>141.34955592153875</v>
      </c>
      <c r="G50" s="45">
        <f t="shared" si="6"/>
        <v>1.02</v>
      </c>
      <c r="H50" s="29">
        <f t="shared" si="15"/>
        <v>43.25</v>
      </c>
      <c r="I50" s="13"/>
      <c r="J50" s="13">
        <v>0.05</v>
      </c>
      <c r="K50" s="29">
        <f t="shared" si="23"/>
        <v>12.25</v>
      </c>
      <c r="L50" s="13">
        <v>31</v>
      </c>
      <c r="M50" s="30">
        <f t="shared" si="22"/>
        <v>1.176530612244898</v>
      </c>
      <c r="N50" s="6"/>
    </row>
    <row r="51" spans="1:14" x14ac:dyDescent="0.25">
      <c r="A51" s="9">
        <v>250</v>
      </c>
      <c r="B51" s="28">
        <f t="shared" si="21"/>
        <v>293.5</v>
      </c>
      <c r="C51" s="28">
        <f t="shared" si="12"/>
        <v>79.577471545947674</v>
      </c>
      <c r="D51" s="36">
        <f t="shared" si="16"/>
        <v>91.577471545947674</v>
      </c>
      <c r="E51" s="36">
        <f t="shared" si="13"/>
        <v>287.6991118430775</v>
      </c>
      <c r="F51" s="41">
        <f t="shared" si="14"/>
        <v>143.84955592153875</v>
      </c>
      <c r="G51" s="47">
        <f t="shared" si="6"/>
        <v>1.03</v>
      </c>
      <c r="H51" s="28">
        <f t="shared" si="15"/>
        <v>43.5</v>
      </c>
      <c r="I51" s="9"/>
      <c r="J51" s="9">
        <v>0.05</v>
      </c>
      <c r="K51" s="28">
        <f t="shared" si="23"/>
        <v>12.5</v>
      </c>
      <c r="L51" s="9">
        <v>31</v>
      </c>
      <c r="M51" s="27">
        <f t="shared" si="22"/>
        <v>1.1739999999999999</v>
      </c>
      <c r="N51" s="6"/>
    </row>
    <row r="52" spans="1:14" x14ac:dyDescent="0.25">
      <c r="A52" s="4">
        <v>255</v>
      </c>
      <c r="B52" s="5">
        <f t="shared" si="21"/>
        <v>298.75</v>
      </c>
      <c r="C52" s="5">
        <f t="shared" si="12"/>
        <v>81.169020976866619</v>
      </c>
      <c r="D52" s="34">
        <f t="shared" si="16"/>
        <v>93.169020976866619</v>
      </c>
      <c r="E52" s="34">
        <f t="shared" si="13"/>
        <v>292.6991118430775</v>
      </c>
      <c r="F52" s="39">
        <f t="shared" si="14"/>
        <v>146.34955592153875</v>
      </c>
      <c r="G52" s="46">
        <f t="shared" si="6"/>
        <v>1.03</v>
      </c>
      <c r="H52" s="5">
        <f t="shared" si="15"/>
        <v>43.75</v>
      </c>
      <c r="I52" s="4"/>
      <c r="J52" s="4">
        <v>0.05</v>
      </c>
      <c r="K52" s="5">
        <f t="shared" si="23"/>
        <v>12.75</v>
      </c>
      <c r="L52" s="4">
        <v>31</v>
      </c>
      <c r="M52" s="7">
        <f t="shared" si="22"/>
        <v>1.1715686274509804</v>
      </c>
      <c r="N52" s="6"/>
    </row>
    <row r="53" spans="1:14" x14ac:dyDescent="0.25">
      <c r="A53" s="4">
        <v>260</v>
      </c>
      <c r="B53" s="5">
        <f t="shared" si="21"/>
        <v>304</v>
      </c>
      <c r="C53" s="5">
        <f t="shared" si="12"/>
        <v>82.760570407785579</v>
      </c>
      <c r="D53" s="34">
        <f t="shared" si="16"/>
        <v>94.760570407785579</v>
      </c>
      <c r="E53" s="34">
        <f t="shared" si="13"/>
        <v>297.6991118430775</v>
      </c>
      <c r="F53" s="39">
        <f t="shared" si="14"/>
        <v>148.84955592153875</v>
      </c>
      <c r="G53" s="46">
        <f t="shared" si="6"/>
        <v>1.03</v>
      </c>
      <c r="H53" s="5">
        <f t="shared" si="15"/>
        <v>44</v>
      </c>
      <c r="I53" s="4"/>
      <c r="J53" s="4">
        <v>0.05</v>
      </c>
      <c r="K53" s="5">
        <f t="shared" si="23"/>
        <v>13</v>
      </c>
      <c r="L53" s="4">
        <v>31</v>
      </c>
      <c r="M53" s="7">
        <f t="shared" si="22"/>
        <v>1.1692307692307693</v>
      </c>
      <c r="N53" s="6"/>
    </row>
    <row r="54" spans="1:14" x14ac:dyDescent="0.25">
      <c r="A54" s="4">
        <v>265</v>
      </c>
      <c r="B54" s="5">
        <f t="shared" si="21"/>
        <v>309.25</v>
      </c>
      <c r="C54" s="5">
        <f t="shared" si="12"/>
        <v>84.352119838704525</v>
      </c>
      <c r="D54" s="34">
        <f t="shared" si="16"/>
        <v>96.352119838704525</v>
      </c>
      <c r="E54" s="34">
        <f t="shared" si="13"/>
        <v>302.6991118430775</v>
      </c>
      <c r="F54" s="39">
        <f t="shared" si="14"/>
        <v>151.34955592153875</v>
      </c>
      <c r="G54" s="46">
        <f t="shared" si="6"/>
        <v>1.03</v>
      </c>
      <c r="H54" s="5">
        <f t="shared" si="15"/>
        <v>44.25</v>
      </c>
      <c r="I54" s="4"/>
      <c r="J54" s="4">
        <v>0.05</v>
      </c>
      <c r="K54" s="5">
        <f t="shared" si="23"/>
        <v>13.25</v>
      </c>
      <c r="L54" s="4">
        <v>31</v>
      </c>
      <c r="M54" s="7">
        <f t="shared" si="22"/>
        <v>1.1669811320754717</v>
      </c>
      <c r="N54" s="6"/>
    </row>
    <row r="55" spans="1:14" x14ac:dyDescent="0.25">
      <c r="A55" s="4">
        <v>270</v>
      </c>
      <c r="B55" s="5">
        <f t="shared" si="21"/>
        <v>314.5</v>
      </c>
      <c r="C55" s="5">
        <f t="shared" si="12"/>
        <v>85.943669269623484</v>
      </c>
      <c r="D55" s="34">
        <f t="shared" si="16"/>
        <v>97.943669269623484</v>
      </c>
      <c r="E55" s="34">
        <f t="shared" si="13"/>
        <v>307.6991118430775</v>
      </c>
      <c r="F55" s="39">
        <f t="shared" si="14"/>
        <v>153.84955592153875</v>
      </c>
      <c r="G55" s="46">
        <f t="shared" si="6"/>
        <v>1.03</v>
      </c>
      <c r="H55" s="5">
        <f t="shared" si="15"/>
        <v>44.5</v>
      </c>
      <c r="I55" s="4"/>
      <c r="J55" s="4">
        <v>0.05</v>
      </c>
      <c r="K55" s="5">
        <f t="shared" si="23"/>
        <v>13.5</v>
      </c>
      <c r="L55" s="4">
        <v>31</v>
      </c>
      <c r="M55" s="7">
        <f t="shared" si="22"/>
        <v>1.1648148148148147</v>
      </c>
      <c r="N55" s="6"/>
    </row>
    <row r="56" spans="1:14" x14ac:dyDescent="0.25">
      <c r="A56" s="4">
        <v>275</v>
      </c>
      <c r="B56" s="5">
        <f t="shared" si="21"/>
        <v>319.75</v>
      </c>
      <c r="C56" s="5">
        <f t="shared" si="12"/>
        <v>87.535218700542444</v>
      </c>
      <c r="D56" s="34">
        <f t="shared" si="16"/>
        <v>99.535218700542444</v>
      </c>
      <c r="E56" s="34">
        <f t="shared" si="13"/>
        <v>312.69911184307756</v>
      </c>
      <c r="F56" s="39">
        <f t="shared" si="14"/>
        <v>156.34955592153878</v>
      </c>
      <c r="G56" s="46">
        <f t="shared" si="6"/>
        <v>1.03</v>
      </c>
      <c r="H56" s="5">
        <f t="shared" si="15"/>
        <v>44.75</v>
      </c>
      <c r="I56" s="4"/>
      <c r="J56" s="4">
        <v>0.05</v>
      </c>
      <c r="K56" s="5">
        <f t="shared" si="23"/>
        <v>13.75</v>
      </c>
      <c r="L56" s="4">
        <v>31</v>
      </c>
      <c r="M56" s="7">
        <f t="shared" si="22"/>
        <v>1.1627272727272728</v>
      </c>
      <c r="N56" s="6"/>
    </row>
    <row r="57" spans="1:14" x14ac:dyDescent="0.25">
      <c r="A57" s="4">
        <v>280</v>
      </c>
      <c r="B57" s="5">
        <f t="shared" si="21"/>
        <v>325</v>
      </c>
      <c r="C57" s="5">
        <f t="shared" si="12"/>
        <v>89.12676813146139</v>
      </c>
      <c r="D57" s="34">
        <f t="shared" si="16"/>
        <v>101.12676813146139</v>
      </c>
      <c r="E57" s="34">
        <f t="shared" si="13"/>
        <v>317.6991118430775</v>
      </c>
      <c r="F57" s="39">
        <f t="shared" si="14"/>
        <v>158.84955592153875</v>
      </c>
      <c r="G57" s="46">
        <f t="shared" si="6"/>
        <v>1.03</v>
      </c>
      <c r="H57" s="5">
        <f t="shared" si="15"/>
        <v>45</v>
      </c>
      <c r="I57" s="4"/>
      <c r="J57" s="4">
        <v>0.05</v>
      </c>
      <c r="K57" s="5">
        <f t="shared" si="23"/>
        <v>14</v>
      </c>
      <c r="L57" s="4">
        <v>31</v>
      </c>
      <c r="M57" s="7">
        <f t="shared" si="22"/>
        <v>1.1607142857142858</v>
      </c>
      <c r="N57" s="6"/>
    </row>
    <row r="58" spans="1:14" x14ac:dyDescent="0.25">
      <c r="A58" s="4">
        <v>285</v>
      </c>
      <c r="B58" s="5">
        <f t="shared" si="21"/>
        <v>330.25</v>
      </c>
      <c r="C58" s="5">
        <f t="shared" si="12"/>
        <v>90.718317562380349</v>
      </c>
      <c r="D58" s="34">
        <f t="shared" si="16"/>
        <v>102.71831756238035</v>
      </c>
      <c r="E58" s="34">
        <f t="shared" si="13"/>
        <v>322.6991118430775</v>
      </c>
      <c r="F58" s="39">
        <f t="shared" si="14"/>
        <v>161.34955592153875</v>
      </c>
      <c r="G58" s="46">
        <f t="shared" si="6"/>
        <v>1.03</v>
      </c>
      <c r="H58" s="5">
        <f t="shared" si="15"/>
        <v>45.25</v>
      </c>
      <c r="I58" s="4"/>
      <c r="J58" s="4">
        <v>0.05</v>
      </c>
      <c r="K58" s="5">
        <f t="shared" si="23"/>
        <v>14.25</v>
      </c>
      <c r="L58" s="4">
        <v>31</v>
      </c>
      <c r="M58" s="7">
        <f t="shared" si="22"/>
        <v>1.1587719298245613</v>
      </c>
      <c r="N58" s="6"/>
    </row>
    <row r="59" spans="1:14" x14ac:dyDescent="0.25">
      <c r="A59" s="4">
        <v>290</v>
      </c>
      <c r="B59" s="5">
        <f t="shared" si="21"/>
        <v>335.5</v>
      </c>
      <c r="C59" s="5">
        <f t="shared" si="12"/>
        <v>92.309866993299295</v>
      </c>
      <c r="D59" s="34">
        <f t="shared" si="16"/>
        <v>104.30986699329929</v>
      </c>
      <c r="E59" s="34">
        <f t="shared" si="13"/>
        <v>327.6991118430775</v>
      </c>
      <c r="F59" s="39">
        <f t="shared" si="14"/>
        <v>163.84955592153875</v>
      </c>
      <c r="G59" s="46">
        <f t="shared" si="6"/>
        <v>1.03</v>
      </c>
      <c r="H59" s="5">
        <f t="shared" si="15"/>
        <v>45.5</v>
      </c>
      <c r="I59" s="4"/>
      <c r="J59" s="4">
        <v>0.05</v>
      </c>
      <c r="K59" s="5">
        <f t="shared" si="23"/>
        <v>14.5</v>
      </c>
      <c r="L59" s="4">
        <v>31</v>
      </c>
      <c r="M59" s="7">
        <f t="shared" si="22"/>
        <v>1.1568965517241379</v>
      </c>
      <c r="N59" s="6"/>
    </row>
    <row r="60" spans="1:14" x14ac:dyDescent="0.25">
      <c r="A60" s="4">
        <v>295</v>
      </c>
      <c r="B60" s="5">
        <f t="shared" si="21"/>
        <v>340.75</v>
      </c>
      <c r="C60" s="5">
        <f t="shared" si="12"/>
        <v>93.901416424218255</v>
      </c>
      <c r="D60" s="34">
        <f t="shared" si="16"/>
        <v>105.90141642421825</v>
      </c>
      <c r="E60" s="34">
        <f t="shared" si="13"/>
        <v>332.6991118430775</v>
      </c>
      <c r="F60" s="39">
        <f t="shared" si="14"/>
        <v>166.34955592153875</v>
      </c>
      <c r="G60" s="46">
        <f t="shared" si="6"/>
        <v>1.03</v>
      </c>
      <c r="H60" s="5">
        <f t="shared" si="15"/>
        <v>45.75</v>
      </c>
      <c r="I60" s="4"/>
      <c r="J60" s="4">
        <v>0.05</v>
      </c>
      <c r="K60" s="5">
        <f t="shared" si="23"/>
        <v>14.75</v>
      </c>
      <c r="L60" s="4">
        <v>31</v>
      </c>
      <c r="M60" s="7">
        <f t="shared" si="22"/>
        <v>1.1550847457627118</v>
      </c>
      <c r="N60" s="6"/>
    </row>
    <row r="61" spans="1:14" x14ac:dyDescent="0.25">
      <c r="A61" s="4">
        <v>300</v>
      </c>
      <c r="B61" s="5">
        <f t="shared" si="21"/>
        <v>346</v>
      </c>
      <c r="C61" s="5">
        <f t="shared" si="12"/>
        <v>95.4929658551372</v>
      </c>
      <c r="D61" s="34">
        <f t="shared" si="16"/>
        <v>107.4929658551372</v>
      </c>
      <c r="E61" s="34">
        <f t="shared" si="13"/>
        <v>337.6991118430775</v>
      </c>
      <c r="F61" s="39">
        <f t="shared" si="14"/>
        <v>168.84955592153875</v>
      </c>
      <c r="G61" s="46">
        <f t="shared" si="6"/>
        <v>1.03</v>
      </c>
      <c r="H61" s="5">
        <f t="shared" si="15"/>
        <v>46</v>
      </c>
      <c r="I61" s="4"/>
      <c r="J61" s="4">
        <v>0.05</v>
      </c>
      <c r="K61" s="5">
        <f t="shared" si="23"/>
        <v>15</v>
      </c>
      <c r="L61" s="4">
        <v>31</v>
      </c>
      <c r="M61" s="7">
        <f t="shared" si="22"/>
        <v>1.1533333333333333</v>
      </c>
      <c r="N61" s="6"/>
    </row>
    <row r="62" spans="1:14" x14ac:dyDescent="0.25">
      <c r="A62" s="4">
        <v>305</v>
      </c>
      <c r="B62" s="5">
        <f t="shared" si="21"/>
        <v>351.25</v>
      </c>
      <c r="C62" s="5">
        <f t="shared" si="12"/>
        <v>97.08451528605616</v>
      </c>
      <c r="D62" s="34">
        <f t="shared" si="16"/>
        <v>109.08451528605616</v>
      </c>
      <c r="E62" s="34">
        <f t="shared" si="13"/>
        <v>342.6991118430775</v>
      </c>
      <c r="F62" s="39">
        <f t="shared" si="14"/>
        <v>171.34955592153875</v>
      </c>
      <c r="G62" s="46">
        <f t="shared" si="6"/>
        <v>1.03</v>
      </c>
      <c r="H62" s="5">
        <f t="shared" si="15"/>
        <v>46.25</v>
      </c>
      <c r="I62" s="4"/>
      <c r="J62" s="4">
        <v>0.05</v>
      </c>
      <c r="K62" s="5">
        <f t="shared" si="23"/>
        <v>15.25</v>
      </c>
      <c r="L62" s="4">
        <v>31</v>
      </c>
      <c r="M62" s="7">
        <f t="shared" si="22"/>
        <v>1.151639344262295</v>
      </c>
      <c r="N62" s="6"/>
    </row>
    <row r="63" spans="1:14" x14ac:dyDescent="0.25">
      <c r="A63" s="9">
        <v>310</v>
      </c>
      <c r="B63" s="28">
        <f t="shared" si="21"/>
        <v>356.5</v>
      </c>
      <c r="C63" s="28">
        <f t="shared" si="12"/>
        <v>98.676064716975105</v>
      </c>
      <c r="D63" s="36">
        <f t="shared" si="16"/>
        <v>110.67606471697511</v>
      </c>
      <c r="E63" s="36">
        <f t="shared" si="13"/>
        <v>347.6991118430775</v>
      </c>
      <c r="F63" s="41">
        <f t="shared" si="14"/>
        <v>173.84955592153875</v>
      </c>
      <c r="G63" s="46">
        <f t="shared" si="6"/>
        <v>1.03</v>
      </c>
      <c r="H63" s="28">
        <f t="shared" si="15"/>
        <v>46.5</v>
      </c>
      <c r="I63" s="9"/>
      <c r="J63" s="9">
        <v>0.05</v>
      </c>
      <c r="K63" s="28">
        <f t="shared" si="23"/>
        <v>15.5</v>
      </c>
      <c r="L63" s="9">
        <v>31</v>
      </c>
      <c r="M63" s="27">
        <f t="shared" si="22"/>
        <v>1.1499999999999999</v>
      </c>
      <c r="N63" s="6"/>
    </row>
    <row r="64" spans="1:14" x14ac:dyDescent="0.25">
      <c r="A64" s="4">
        <v>315</v>
      </c>
      <c r="B64" s="5">
        <f t="shared" si="21"/>
        <v>361.75</v>
      </c>
      <c r="C64" s="5">
        <f t="shared" si="12"/>
        <v>100.26761414789407</v>
      </c>
      <c r="D64" s="34">
        <f t="shared" si="16"/>
        <v>112.26761414789407</v>
      </c>
      <c r="E64" s="34">
        <f t="shared" si="13"/>
        <v>352.6991118430775</v>
      </c>
      <c r="F64" s="39">
        <f t="shared" si="14"/>
        <v>176.34955592153875</v>
      </c>
      <c r="G64" s="46">
        <f t="shared" si="6"/>
        <v>1.03</v>
      </c>
      <c r="H64" s="5">
        <f t="shared" si="15"/>
        <v>46.75</v>
      </c>
      <c r="I64" s="4"/>
      <c r="J64" s="4">
        <v>0.05</v>
      </c>
      <c r="K64" s="5">
        <f t="shared" si="23"/>
        <v>15.75</v>
      </c>
      <c r="L64" s="4">
        <v>31</v>
      </c>
      <c r="M64" s="7">
        <f t="shared" si="22"/>
        <v>1.1484126984126983</v>
      </c>
      <c r="N64" s="6"/>
    </row>
    <row r="65" spans="1:14" x14ac:dyDescent="0.25">
      <c r="A65" s="4">
        <v>320</v>
      </c>
      <c r="B65" s="5">
        <f t="shared" si="21"/>
        <v>367</v>
      </c>
      <c r="C65" s="5">
        <f t="shared" si="12"/>
        <v>101.85916357881302</v>
      </c>
      <c r="D65" s="34">
        <f t="shared" si="16"/>
        <v>113.85916357881302</v>
      </c>
      <c r="E65" s="34">
        <f t="shared" si="13"/>
        <v>357.69911184307756</v>
      </c>
      <c r="F65" s="39">
        <f t="shared" si="14"/>
        <v>178.84955592153878</v>
      </c>
      <c r="G65" s="46">
        <f t="shared" si="6"/>
        <v>1.03</v>
      </c>
      <c r="H65" s="5">
        <f t="shared" si="15"/>
        <v>47</v>
      </c>
      <c r="I65" s="4"/>
      <c r="J65" s="4">
        <v>0.05</v>
      </c>
      <c r="K65" s="5">
        <f t="shared" si="23"/>
        <v>16</v>
      </c>
      <c r="L65" s="4">
        <v>31</v>
      </c>
      <c r="M65" s="7">
        <f t="shared" si="22"/>
        <v>1.1468750000000001</v>
      </c>
      <c r="N65" s="6"/>
    </row>
    <row r="66" spans="1:14" x14ac:dyDescent="0.25">
      <c r="A66" s="4">
        <v>325</v>
      </c>
      <c r="B66" s="5">
        <f t="shared" si="21"/>
        <v>372.25</v>
      </c>
      <c r="C66" s="5">
        <f t="shared" si="12"/>
        <v>103.45071300973197</v>
      </c>
      <c r="D66" s="34">
        <f t="shared" si="16"/>
        <v>115.45071300973197</v>
      </c>
      <c r="E66" s="34">
        <f t="shared" si="13"/>
        <v>362.6991118430775</v>
      </c>
      <c r="F66" s="39">
        <f t="shared" si="14"/>
        <v>181.34955592153875</v>
      </c>
      <c r="G66" s="46">
        <f t="shared" si="6"/>
        <v>1.03</v>
      </c>
      <c r="H66" s="5">
        <f t="shared" si="15"/>
        <v>47.25</v>
      </c>
      <c r="I66" s="4"/>
      <c r="J66" s="4">
        <v>0.05</v>
      </c>
      <c r="K66" s="5">
        <f t="shared" si="23"/>
        <v>16.25</v>
      </c>
      <c r="L66" s="4">
        <v>31</v>
      </c>
      <c r="M66" s="7">
        <f t="shared" si="22"/>
        <v>1.1453846153846154</v>
      </c>
      <c r="N66" s="6"/>
    </row>
    <row r="67" spans="1:14" x14ac:dyDescent="0.25">
      <c r="A67" s="4">
        <v>330</v>
      </c>
      <c r="B67" s="5">
        <f t="shared" si="21"/>
        <v>377.5</v>
      </c>
      <c r="C67" s="5">
        <f t="shared" si="12"/>
        <v>105.04226244065093</v>
      </c>
      <c r="D67" s="34">
        <f t="shared" si="16"/>
        <v>117.04226244065093</v>
      </c>
      <c r="E67" s="34">
        <f t="shared" si="13"/>
        <v>367.6991118430775</v>
      </c>
      <c r="F67" s="39">
        <f t="shared" si="14"/>
        <v>183.84955592153875</v>
      </c>
      <c r="G67" s="46">
        <f t="shared" si="6"/>
        <v>1.03</v>
      </c>
      <c r="H67" s="5">
        <f t="shared" si="15"/>
        <v>47.5</v>
      </c>
      <c r="I67" s="4"/>
      <c r="J67" s="4">
        <v>0.05</v>
      </c>
      <c r="K67" s="5">
        <f t="shared" si="23"/>
        <v>16.5</v>
      </c>
      <c r="L67" s="4">
        <v>31</v>
      </c>
      <c r="M67" s="7">
        <f t="shared" si="22"/>
        <v>1.143939393939394</v>
      </c>
      <c r="N67" s="6"/>
    </row>
    <row r="68" spans="1:14" x14ac:dyDescent="0.25">
      <c r="A68" s="4">
        <v>335</v>
      </c>
      <c r="B68" s="5">
        <f t="shared" si="21"/>
        <v>382.75</v>
      </c>
      <c r="C68" s="5">
        <f t="shared" si="12"/>
        <v>106.63381187156988</v>
      </c>
      <c r="D68" s="34">
        <f t="shared" si="16"/>
        <v>118.63381187156988</v>
      </c>
      <c r="E68" s="34">
        <f t="shared" si="13"/>
        <v>372.6991118430775</v>
      </c>
      <c r="F68" s="39">
        <f t="shared" si="14"/>
        <v>186.34955592153875</v>
      </c>
      <c r="G68" s="46">
        <f t="shared" si="6"/>
        <v>1.03</v>
      </c>
      <c r="H68" s="5">
        <f t="shared" si="15"/>
        <v>47.75</v>
      </c>
      <c r="I68" s="4"/>
      <c r="J68" s="4">
        <v>0.05</v>
      </c>
      <c r="K68" s="5">
        <f t="shared" si="23"/>
        <v>16.75</v>
      </c>
      <c r="L68" s="4">
        <v>31</v>
      </c>
      <c r="M68" s="7">
        <f t="shared" si="22"/>
        <v>1.1425373134328358</v>
      </c>
      <c r="N68" s="6"/>
    </row>
    <row r="69" spans="1:14" x14ac:dyDescent="0.25">
      <c r="A69" s="4">
        <v>340</v>
      </c>
      <c r="B69" s="5">
        <f t="shared" si="21"/>
        <v>388</v>
      </c>
      <c r="C69" s="5">
        <f t="shared" si="12"/>
        <v>108.22536130248884</v>
      </c>
      <c r="D69" s="34">
        <f t="shared" si="16"/>
        <v>120.22536130248884</v>
      </c>
      <c r="E69" s="34">
        <f t="shared" si="13"/>
        <v>377.6991118430775</v>
      </c>
      <c r="F69" s="39">
        <f t="shared" si="14"/>
        <v>188.84955592153875</v>
      </c>
      <c r="G69" s="46">
        <f t="shared" si="6"/>
        <v>1.03</v>
      </c>
      <c r="H69" s="5">
        <f t="shared" si="15"/>
        <v>48</v>
      </c>
      <c r="I69" s="4"/>
      <c r="J69" s="4">
        <v>0.05</v>
      </c>
      <c r="K69" s="5">
        <f t="shared" si="23"/>
        <v>17</v>
      </c>
      <c r="L69" s="4">
        <v>31</v>
      </c>
      <c r="M69" s="7">
        <f t="shared" si="22"/>
        <v>1.1411764705882352</v>
      </c>
      <c r="N69" s="6"/>
    </row>
    <row r="70" spans="1:14" x14ac:dyDescent="0.25">
      <c r="A70" s="4">
        <v>345</v>
      </c>
      <c r="B70" s="5">
        <f t="shared" si="21"/>
        <v>393.25</v>
      </c>
      <c r="C70" s="5">
        <f t="shared" si="12"/>
        <v>109.81691073340778</v>
      </c>
      <c r="D70" s="34">
        <f t="shared" si="16"/>
        <v>121.81691073340778</v>
      </c>
      <c r="E70" s="34">
        <f t="shared" si="13"/>
        <v>382.6991118430775</v>
      </c>
      <c r="F70" s="39">
        <f t="shared" si="14"/>
        <v>191.34955592153875</v>
      </c>
      <c r="G70" s="46">
        <f t="shared" ref="G70:G133" si="24">ROUNDUP(B70/E70,2)</f>
        <v>1.03</v>
      </c>
      <c r="H70" s="5">
        <f t="shared" si="15"/>
        <v>48.25</v>
      </c>
      <c r="I70" s="4"/>
      <c r="J70" s="4">
        <v>0.05</v>
      </c>
      <c r="K70" s="5">
        <f t="shared" si="23"/>
        <v>17.25</v>
      </c>
      <c r="L70" s="4">
        <v>31</v>
      </c>
      <c r="M70" s="7">
        <f t="shared" si="22"/>
        <v>1.1398550724637682</v>
      </c>
      <c r="N70" s="6"/>
    </row>
    <row r="71" spans="1:14" x14ac:dyDescent="0.25">
      <c r="A71" s="4">
        <v>350</v>
      </c>
      <c r="B71" s="42">
        <f t="shared" si="21"/>
        <v>398.5</v>
      </c>
      <c r="C71" s="5">
        <f t="shared" si="12"/>
        <v>111.40846016432674</v>
      </c>
      <c r="D71" s="34">
        <f t="shared" si="16"/>
        <v>123.40846016432674</v>
      </c>
      <c r="E71" s="34">
        <f t="shared" si="13"/>
        <v>387.6991118430775</v>
      </c>
      <c r="F71" s="39">
        <f t="shared" si="14"/>
        <v>193.84955592153875</v>
      </c>
      <c r="G71" s="46">
        <f t="shared" si="24"/>
        <v>1.03</v>
      </c>
      <c r="H71" s="5">
        <f t="shared" si="15"/>
        <v>48.5</v>
      </c>
      <c r="I71" s="4"/>
      <c r="J71" s="4">
        <v>0.05</v>
      </c>
      <c r="K71" s="5">
        <f t="shared" si="23"/>
        <v>17.5</v>
      </c>
      <c r="L71" s="4">
        <v>31</v>
      </c>
      <c r="M71" s="7">
        <f t="shared" si="22"/>
        <v>1.1385714285714286</v>
      </c>
      <c r="N71" s="6"/>
    </row>
    <row r="72" spans="1:14" x14ac:dyDescent="0.25">
      <c r="A72" s="4">
        <v>355</v>
      </c>
      <c r="B72" s="5">
        <f t="shared" si="21"/>
        <v>403.75</v>
      </c>
      <c r="C72" s="5">
        <f t="shared" si="12"/>
        <v>113.00000959524569</v>
      </c>
      <c r="D72" s="34">
        <f t="shared" si="16"/>
        <v>125.00000959524569</v>
      </c>
      <c r="E72" s="34">
        <f t="shared" si="13"/>
        <v>392.6991118430775</v>
      </c>
      <c r="F72" s="39">
        <f t="shared" si="14"/>
        <v>196.34955592153875</v>
      </c>
      <c r="G72" s="46">
        <f t="shared" si="24"/>
        <v>1.03</v>
      </c>
      <c r="H72" s="5">
        <f t="shared" si="15"/>
        <v>48.75</v>
      </c>
      <c r="I72" s="4"/>
      <c r="J72" s="4">
        <v>0.05</v>
      </c>
      <c r="K72" s="5">
        <f t="shared" si="23"/>
        <v>17.75</v>
      </c>
      <c r="L72" s="4">
        <v>31</v>
      </c>
      <c r="M72" s="7">
        <f t="shared" si="22"/>
        <v>1.1373239436619718</v>
      </c>
      <c r="N72" s="6"/>
    </row>
    <row r="73" spans="1:14" x14ac:dyDescent="0.25">
      <c r="A73" s="4">
        <v>360</v>
      </c>
      <c r="B73" s="5">
        <f t="shared" ref="B73" si="25">A73+K73+L73</f>
        <v>409</v>
      </c>
      <c r="C73" s="5">
        <f t="shared" si="12"/>
        <v>114.59155902616465</v>
      </c>
      <c r="D73" s="34">
        <f t="shared" si="16"/>
        <v>126.59155902616465</v>
      </c>
      <c r="E73" s="34">
        <f t="shared" si="13"/>
        <v>397.6991118430775</v>
      </c>
      <c r="F73" s="39">
        <f t="shared" si="14"/>
        <v>198.84955592153875</v>
      </c>
      <c r="G73" s="46">
        <f t="shared" si="24"/>
        <v>1.03</v>
      </c>
      <c r="H73" s="5">
        <f t="shared" si="15"/>
        <v>49</v>
      </c>
      <c r="I73" s="4"/>
      <c r="J73" s="4">
        <v>0.05</v>
      </c>
      <c r="K73" s="5">
        <f t="shared" si="23"/>
        <v>18</v>
      </c>
      <c r="L73" s="4">
        <v>31</v>
      </c>
      <c r="M73" s="7">
        <f t="shared" si="22"/>
        <v>1.1361111111111111</v>
      </c>
      <c r="N73" s="6"/>
    </row>
    <row r="74" spans="1:14" x14ac:dyDescent="0.25">
      <c r="A74" s="4">
        <v>365</v>
      </c>
      <c r="B74" s="5">
        <f t="shared" ref="B74:B950" si="26">A74+K74+L74</f>
        <v>414.25</v>
      </c>
      <c r="C74" s="5">
        <f t="shared" ref="C74:C101" si="27">A74/PI()</f>
        <v>116.18310845708361</v>
      </c>
      <c r="D74" s="34">
        <f t="shared" ref="D74:D101" si="28">C74+12</f>
        <v>128.18310845708362</v>
      </c>
      <c r="E74" s="34">
        <f t="shared" ref="E74:E101" si="29">D74*PI()</f>
        <v>402.69911184307756</v>
      </c>
      <c r="F74" s="39">
        <f t="shared" ref="F74:F101" si="30">E74/2</f>
        <v>201.34955592153878</v>
      </c>
      <c r="G74" s="46">
        <f t="shared" si="24"/>
        <v>1.03</v>
      </c>
      <c r="H74" s="5">
        <f t="shared" ref="H74:H949" si="31">K74+L74</f>
        <v>49.25</v>
      </c>
      <c r="I74" s="4"/>
      <c r="J74" s="4">
        <v>0.05</v>
      </c>
      <c r="K74" s="5">
        <f t="shared" si="23"/>
        <v>18.25</v>
      </c>
      <c r="L74" s="4">
        <v>31</v>
      </c>
      <c r="M74" s="7">
        <f t="shared" ref="M74:M953" si="32">B74/A74</f>
        <v>1.1349315068493151</v>
      </c>
      <c r="N74" s="6"/>
    </row>
    <row r="75" spans="1:14" x14ac:dyDescent="0.25">
      <c r="A75" s="4">
        <v>370</v>
      </c>
      <c r="B75" s="5">
        <f t="shared" si="26"/>
        <v>419.5</v>
      </c>
      <c r="C75" s="5">
        <f t="shared" si="27"/>
        <v>117.77465788800255</v>
      </c>
      <c r="D75" s="34">
        <f t="shared" si="28"/>
        <v>129.77465788800254</v>
      </c>
      <c r="E75" s="34">
        <f t="shared" si="29"/>
        <v>407.69911184307745</v>
      </c>
      <c r="F75" s="39">
        <f t="shared" si="30"/>
        <v>203.84955592153872</v>
      </c>
      <c r="G75" s="46">
        <f t="shared" si="24"/>
        <v>1.03</v>
      </c>
      <c r="H75" s="5">
        <f t="shared" si="31"/>
        <v>49.5</v>
      </c>
      <c r="I75" s="4"/>
      <c r="J75" s="4">
        <v>0.05</v>
      </c>
      <c r="K75" s="5">
        <f t="shared" si="23"/>
        <v>18.5</v>
      </c>
      <c r="L75" s="4">
        <v>31</v>
      </c>
      <c r="M75" s="7">
        <f t="shared" si="32"/>
        <v>1.1337837837837839</v>
      </c>
      <c r="N75" s="6"/>
    </row>
    <row r="76" spans="1:14" x14ac:dyDescent="0.25">
      <c r="A76" s="4">
        <v>375</v>
      </c>
      <c r="B76" s="5">
        <f t="shared" si="26"/>
        <v>424.75</v>
      </c>
      <c r="C76" s="5">
        <f t="shared" si="27"/>
        <v>119.36620731892151</v>
      </c>
      <c r="D76" s="34">
        <f t="shared" si="28"/>
        <v>131.36620731892151</v>
      </c>
      <c r="E76" s="34">
        <f t="shared" si="29"/>
        <v>412.6991118430775</v>
      </c>
      <c r="F76" s="39">
        <f t="shared" si="30"/>
        <v>206.34955592153875</v>
      </c>
      <c r="G76" s="46">
        <f t="shared" si="24"/>
        <v>1.03</v>
      </c>
      <c r="H76" s="5">
        <f t="shared" si="31"/>
        <v>49.75</v>
      </c>
      <c r="I76" s="4"/>
      <c r="J76" s="4">
        <v>0.05</v>
      </c>
      <c r="K76" s="5">
        <f t="shared" ref="K76:K101" si="33">A76*J76</f>
        <v>18.75</v>
      </c>
      <c r="L76" s="4">
        <v>31</v>
      </c>
      <c r="M76" s="7">
        <f t="shared" si="32"/>
        <v>1.1326666666666667</v>
      </c>
      <c r="N76" s="6"/>
    </row>
    <row r="77" spans="1:14" x14ac:dyDescent="0.25">
      <c r="A77" s="4">
        <v>380</v>
      </c>
      <c r="B77" s="5">
        <f t="shared" si="26"/>
        <v>430</v>
      </c>
      <c r="C77" s="5">
        <f t="shared" si="27"/>
        <v>120.95775674984046</v>
      </c>
      <c r="D77" s="34">
        <f t="shared" si="28"/>
        <v>132.95775674984046</v>
      </c>
      <c r="E77" s="34">
        <f t="shared" si="29"/>
        <v>417.6991118430775</v>
      </c>
      <c r="F77" s="39">
        <f t="shared" si="30"/>
        <v>208.84955592153875</v>
      </c>
      <c r="G77" s="46">
        <f t="shared" si="24"/>
        <v>1.03</v>
      </c>
      <c r="H77" s="5">
        <f t="shared" si="31"/>
        <v>50</v>
      </c>
      <c r="I77" s="4"/>
      <c r="J77" s="4">
        <v>0.05</v>
      </c>
      <c r="K77" s="5">
        <f t="shared" si="33"/>
        <v>19</v>
      </c>
      <c r="L77" s="4">
        <v>31</v>
      </c>
      <c r="M77" s="7">
        <f t="shared" si="32"/>
        <v>1.131578947368421</v>
      </c>
      <c r="N77" s="6"/>
    </row>
    <row r="78" spans="1:14" x14ac:dyDescent="0.25">
      <c r="A78" s="4">
        <v>385</v>
      </c>
      <c r="B78" s="5">
        <f t="shared" si="26"/>
        <v>435.25</v>
      </c>
      <c r="C78" s="5">
        <f t="shared" si="27"/>
        <v>122.54930618075942</v>
      </c>
      <c r="D78" s="34">
        <f t="shared" si="28"/>
        <v>134.5493061807594</v>
      </c>
      <c r="E78" s="34">
        <f t="shared" si="29"/>
        <v>422.6991118430775</v>
      </c>
      <c r="F78" s="39">
        <f t="shared" si="30"/>
        <v>211.34955592153875</v>
      </c>
      <c r="G78" s="46">
        <f t="shared" si="24"/>
        <v>1.03</v>
      </c>
      <c r="H78" s="5">
        <f t="shared" si="31"/>
        <v>50.25</v>
      </c>
      <c r="I78" s="4"/>
      <c r="J78" s="4">
        <v>0.05</v>
      </c>
      <c r="K78" s="5">
        <f t="shared" si="33"/>
        <v>19.25</v>
      </c>
      <c r="L78" s="4">
        <v>31</v>
      </c>
      <c r="M78" s="7">
        <f t="shared" si="32"/>
        <v>1.1305194805194805</v>
      </c>
      <c r="N78" s="6"/>
    </row>
    <row r="79" spans="1:14" ht="16.5" thickBot="1" x14ac:dyDescent="0.3">
      <c r="A79" s="13">
        <v>390</v>
      </c>
      <c r="B79" s="29">
        <f t="shared" si="26"/>
        <v>440.5</v>
      </c>
      <c r="C79" s="29">
        <f t="shared" si="27"/>
        <v>124.14085561167836</v>
      </c>
      <c r="D79" s="35">
        <f t="shared" si="28"/>
        <v>136.14085561167838</v>
      </c>
      <c r="E79" s="35">
        <f t="shared" si="29"/>
        <v>427.69911184307756</v>
      </c>
      <c r="F79" s="40">
        <f t="shared" si="30"/>
        <v>213.84955592153878</v>
      </c>
      <c r="G79" s="45">
        <f t="shared" si="24"/>
        <v>1.03</v>
      </c>
      <c r="H79" s="29">
        <f t="shared" si="31"/>
        <v>50.5</v>
      </c>
      <c r="I79" s="13"/>
      <c r="J79" s="13">
        <v>0.05</v>
      </c>
      <c r="K79" s="29">
        <f t="shared" si="33"/>
        <v>19.5</v>
      </c>
      <c r="L79" s="13">
        <v>31</v>
      </c>
      <c r="M79" s="30">
        <f t="shared" si="32"/>
        <v>1.1294871794871795</v>
      </c>
      <c r="N79" s="6"/>
    </row>
    <row r="80" spans="1:14" ht="16.5" thickBot="1" x14ac:dyDescent="0.3">
      <c r="A80" s="50">
        <v>395</v>
      </c>
      <c r="B80" s="51">
        <f t="shared" si="26"/>
        <v>445.75</v>
      </c>
      <c r="C80" s="51">
        <f t="shared" si="27"/>
        <v>125.73240504259732</v>
      </c>
      <c r="D80" s="52">
        <f t="shared" si="28"/>
        <v>137.73240504259732</v>
      </c>
      <c r="E80" s="52">
        <f t="shared" si="29"/>
        <v>432.6991118430775</v>
      </c>
      <c r="F80" s="53">
        <f t="shared" si="30"/>
        <v>216.34955592153875</v>
      </c>
      <c r="G80" s="54">
        <f t="shared" si="24"/>
        <v>1.04</v>
      </c>
      <c r="H80" s="51">
        <f t="shared" si="31"/>
        <v>50.75</v>
      </c>
      <c r="I80" s="50"/>
      <c r="J80" s="50">
        <v>0.05</v>
      </c>
      <c r="K80" s="51">
        <f t="shared" si="33"/>
        <v>19.75</v>
      </c>
      <c r="L80" s="50">
        <v>31</v>
      </c>
      <c r="M80" s="55">
        <f t="shared" si="32"/>
        <v>1.1284810126582279</v>
      </c>
      <c r="N80" s="31"/>
    </row>
    <row r="81" spans="1:14" x14ac:dyDescent="0.25">
      <c r="A81" s="9">
        <v>400</v>
      </c>
      <c r="B81" s="28">
        <f>A81+K81+L81</f>
        <v>462</v>
      </c>
      <c r="C81" s="28">
        <f t="shared" si="27"/>
        <v>127.32395447351627</v>
      </c>
      <c r="D81" s="36">
        <f t="shared" si="28"/>
        <v>139.32395447351627</v>
      </c>
      <c r="E81" s="36">
        <f t="shared" si="29"/>
        <v>437.6991118430775</v>
      </c>
      <c r="F81" s="41">
        <f t="shared" si="30"/>
        <v>218.84955592153875</v>
      </c>
      <c r="G81" s="47">
        <f t="shared" si="24"/>
        <v>1.06</v>
      </c>
      <c r="H81" s="28">
        <f t="shared" si="31"/>
        <v>62</v>
      </c>
      <c r="I81" s="9"/>
      <c r="J81" s="9">
        <v>0.06</v>
      </c>
      <c r="K81" s="28">
        <f t="shared" si="33"/>
        <v>24</v>
      </c>
      <c r="L81" s="9">
        <v>38</v>
      </c>
      <c r="M81" s="27">
        <f t="shared" si="32"/>
        <v>1.155</v>
      </c>
      <c r="N81" s="6"/>
    </row>
    <row r="82" spans="1:14" x14ac:dyDescent="0.25">
      <c r="A82" s="4">
        <v>405</v>
      </c>
      <c r="B82" s="5">
        <f t="shared" si="26"/>
        <v>467.3</v>
      </c>
      <c r="C82" s="5">
        <f t="shared" si="27"/>
        <v>128.91550390443524</v>
      </c>
      <c r="D82" s="34">
        <f t="shared" si="28"/>
        <v>140.91550390443524</v>
      </c>
      <c r="E82" s="34">
        <f t="shared" si="29"/>
        <v>442.69911184307756</v>
      </c>
      <c r="F82" s="39">
        <f t="shared" si="30"/>
        <v>221.34955592153878</v>
      </c>
      <c r="G82" s="46">
        <f t="shared" si="24"/>
        <v>1.06</v>
      </c>
      <c r="H82" s="5">
        <f t="shared" si="31"/>
        <v>62.3</v>
      </c>
      <c r="I82" s="4"/>
      <c r="J82" s="4">
        <v>0.06</v>
      </c>
      <c r="K82" s="5">
        <f t="shared" si="33"/>
        <v>24.3</v>
      </c>
      <c r="L82" s="4">
        <v>38</v>
      </c>
      <c r="M82" s="7">
        <f t="shared" si="32"/>
        <v>1.1538271604938273</v>
      </c>
      <c r="N82" s="6"/>
    </row>
    <row r="83" spans="1:14" x14ac:dyDescent="0.25">
      <c r="A83" s="4">
        <v>410</v>
      </c>
      <c r="B83" s="5">
        <f t="shared" si="26"/>
        <v>472.6</v>
      </c>
      <c r="C83" s="5">
        <f t="shared" si="27"/>
        <v>130.50705333535419</v>
      </c>
      <c r="D83" s="34">
        <f t="shared" si="28"/>
        <v>142.50705333535419</v>
      </c>
      <c r="E83" s="34">
        <f t="shared" si="29"/>
        <v>447.69911184307756</v>
      </c>
      <c r="F83" s="39">
        <f t="shared" si="30"/>
        <v>223.84955592153878</v>
      </c>
      <c r="G83" s="46">
        <f t="shared" si="24"/>
        <v>1.06</v>
      </c>
      <c r="H83" s="5">
        <f t="shared" si="31"/>
        <v>62.599999999999994</v>
      </c>
      <c r="I83" s="4"/>
      <c r="J83" s="4">
        <v>0.06</v>
      </c>
      <c r="K83" s="5">
        <f t="shared" si="33"/>
        <v>24.599999999999998</v>
      </c>
      <c r="L83" s="4">
        <v>38</v>
      </c>
      <c r="M83" s="7">
        <f t="shared" si="32"/>
        <v>1.1526829268292684</v>
      </c>
      <c r="N83" s="6"/>
    </row>
    <row r="84" spans="1:14" x14ac:dyDescent="0.25">
      <c r="A84" s="4">
        <v>415</v>
      </c>
      <c r="B84" s="5">
        <f t="shared" si="26"/>
        <v>477.9</v>
      </c>
      <c r="C84" s="5">
        <f t="shared" si="27"/>
        <v>132.09860276627313</v>
      </c>
      <c r="D84" s="34">
        <f t="shared" si="28"/>
        <v>144.09860276627313</v>
      </c>
      <c r="E84" s="34">
        <f t="shared" si="29"/>
        <v>452.6991118430775</v>
      </c>
      <c r="F84" s="39">
        <f t="shared" si="30"/>
        <v>226.34955592153875</v>
      </c>
      <c r="G84" s="46">
        <f t="shared" si="24"/>
        <v>1.06</v>
      </c>
      <c r="H84" s="5">
        <f t="shared" si="31"/>
        <v>62.9</v>
      </c>
      <c r="I84" s="4"/>
      <c r="J84" s="4">
        <v>0.06</v>
      </c>
      <c r="K84" s="5">
        <f t="shared" si="33"/>
        <v>24.9</v>
      </c>
      <c r="L84" s="4">
        <v>38</v>
      </c>
      <c r="M84" s="7">
        <f t="shared" si="32"/>
        <v>1.151566265060241</v>
      </c>
      <c r="N84" s="6"/>
    </row>
    <row r="85" spans="1:14" x14ac:dyDescent="0.25">
      <c r="A85" s="4">
        <v>420</v>
      </c>
      <c r="B85" s="5">
        <f t="shared" si="26"/>
        <v>483.2</v>
      </c>
      <c r="C85" s="5">
        <f t="shared" si="27"/>
        <v>133.69015219719208</v>
      </c>
      <c r="D85" s="34">
        <f t="shared" si="28"/>
        <v>145.69015219719208</v>
      </c>
      <c r="E85" s="34">
        <f t="shared" si="29"/>
        <v>457.6991118430775</v>
      </c>
      <c r="F85" s="39">
        <f t="shared" si="30"/>
        <v>228.84955592153875</v>
      </c>
      <c r="G85" s="46">
        <f t="shared" si="24"/>
        <v>1.06</v>
      </c>
      <c r="H85" s="5">
        <f t="shared" si="31"/>
        <v>63.2</v>
      </c>
      <c r="I85" s="4"/>
      <c r="J85" s="4">
        <v>0.06</v>
      </c>
      <c r="K85" s="5">
        <f t="shared" si="33"/>
        <v>25.2</v>
      </c>
      <c r="L85" s="4">
        <v>38</v>
      </c>
      <c r="M85" s="7">
        <f t="shared" si="32"/>
        <v>1.1504761904761904</v>
      </c>
      <c r="N85" s="6"/>
    </row>
    <row r="86" spans="1:14" x14ac:dyDescent="0.25">
      <c r="A86" s="4">
        <v>425</v>
      </c>
      <c r="B86" s="5">
        <f t="shared" si="26"/>
        <v>488.5</v>
      </c>
      <c r="C86" s="5">
        <f t="shared" si="27"/>
        <v>135.28170162811105</v>
      </c>
      <c r="D86" s="34">
        <f t="shared" si="28"/>
        <v>147.28170162811105</v>
      </c>
      <c r="E86" s="34">
        <f t="shared" si="29"/>
        <v>462.69911184307756</v>
      </c>
      <c r="F86" s="39">
        <f t="shared" si="30"/>
        <v>231.34955592153878</v>
      </c>
      <c r="G86" s="46">
        <f t="shared" si="24"/>
        <v>1.06</v>
      </c>
      <c r="H86" s="5">
        <f t="shared" si="31"/>
        <v>63.5</v>
      </c>
      <c r="I86" s="4"/>
      <c r="J86" s="4">
        <v>0.06</v>
      </c>
      <c r="K86" s="5">
        <f t="shared" si="33"/>
        <v>25.5</v>
      </c>
      <c r="L86" s="4">
        <v>38</v>
      </c>
      <c r="M86" s="7">
        <f t="shared" si="32"/>
        <v>1.1494117647058824</v>
      </c>
      <c r="N86" s="6"/>
    </row>
    <row r="87" spans="1:14" x14ac:dyDescent="0.25">
      <c r="A87" s="4">
        <v>430</v>
      </c>
      <c r="B87" s="5">
        <f t="shared" si="26"/>
        <v>493.8</v>
      </c>
      <c r="C87" s="5">
        <f t="shared" si="27"/>
        <v>136.87325105903</v>
      </c>
      <c r="D87" s="34">
        <f t="shared" si="28"/>
        <v>148.87325105903</v>
      </c>
      <c r="E87" s="34">
        <f t="shared" si="29"/>
        <v>467.6991118430775</v>
      </c>
      <c r="F87" s="39">
        <f t="shared" si="30"/>
        <v>233.84955592153875</v>
      </c>
      <c r="G87" s="46">
        <f t="shared" si="24"/>
        <v>1.06</v>
      </c>
      <c r="H87" s="5">
        <f t="shared" si="31"/>
        <v>63.8</v>
      </c>
      <c r="I87" s="4"/>
      <c r="J87" s="4">
        <v>0.06</v>
      </c>
      <c r="K87" s="5">
        <f t="shared" si="33"/>
        <v>25.8</v>
      </c>
      <c r="L87" s="4">
        <v>38</v>
      </c>
      <c r="M87" s="7">
        <f t="shared" si="32"/>
        <v>1.1483720930232559</v>
      </c>
      <c r="N87" s="6"/>
    </row>
    <row r="88" spans="1:14" x14ac:dyDescent="0.25">
      <c r="A88" s="4">
        <v>435</v>
      </c>
      <c r="B88" s="5">
        <f t="shared" si="26"/>
        <v>499.1</v>
      </c>
      <c r="C88" s="5">
        <f t="shared" si="27"/>
        <v>138.46480048994894</v>
      </c>
      <c r="D88" s="34">
        <f t="shared" si="28"/>
        <v>150.46480048994894</v>
      </c>
      <c r="E88" s="34">
        <f t="shared" si="29"/>
        <v>472.6991118430775</v>
      </c>
      <c r="F88" s="39">
        <f t="shared" si="30"/>
        <v>236.34955592153875</v>
      </c>
      <c r="G88" s="46">
        <f t="shared" si="24"/>
        <v>1.06</v>
      </c>
      <c r="H88" s="5">
        <f t="shared" si="31"/>
        <v>64.099999999999994</v>
      </c>
      <c r="I88" s="4"/>
      <c r="J88" s="4">
        <v>0.06</v>
      </c>
      <c r="K88" s="5">
        <f t="shared" si="33"/>
        <v>26.099999999999998</v>
      </c>
      <c r="L88" s="4">
        <v>38</v>
      </c>
      <c r="M88" s="7">
        <f t="shared" si="32"/>
        <v>1.1473563218390805</v>
      </c>
      <c r="N88" s="6"/>
    </row>
    <row r="89" spans="1:14" x14ac:dyDescent="0.25">
      <c r="A89" s="4">
        <v>440</v>
      </c>
      <c r="B89" s="5">
        <f t="shared" si="26"/>
        <v>504.4</v>
      </c>
      <c r="C89" s="5">
        <f t="shared" si="27"/>
        <v>140.05634992086789</v>
      </c>
      <c r="D89" s="34">
        <f t="shared" si="28"/>
        <v>152.05634992086789</v>
      </c>
      <c r="E89" s="34">
        <f t="shared" si="29"/>
        <v>477.6991118430775</v>
      </c>
      <c r="F89" s="39">
        <f t="shared" si="30"/>
        <v>238.84955592153875</v>
      </c>
      <c r="G89" s="46">
        <f t="shared" si="24"/>
        <v>1.06</v>
      </c>
      <c r="H89" s="5">
        <f t="shared" si="31"/>
        <v>64.400000000000006</v>
      </c>
      <c r="I89" s="4"/>
      <c r="J89" s="4">
        <v>0.06</v>
      </c>
      <c r="K89" s="5">
        <f t="shared" si="33"/>
        <v>26.4</v>
      </c>
      <c r="L89" s="4">
        <v>38</v>
      </c>
      <c r="M89" s="7">
        <f t="shared" si="32"/>
        <v>1.1463636363636363</v>
      </c>
      <c r="N89" s="6"/>
    </row>
    <row r="90" spans="1:14" x14ac:dyDescent="0.25">
      <c r="A90" s="4">
        <v>445</v>
      </c>
      <c r="B90" s="5">
        <f t="shared" si="26"/>
        <v>509.7</v>
      </c>
      <c r="C90" s="5">
        <f t="shared" si="27"/>
        <v>141.64789935178686</v>
      </c>
      <c r="D90" s="34">
        <f t="shared" si="28"/>
        <v>153.64789935178686</v>
      </c>
      <c r="E90" s="34">
        <f t="shared" si="29"/>
        <v>482.69911184307756</v>
      </c>
      <c r="F90" s="39">
        <f t="shared" si="30"/>
        <v>241.34955592153878</v>
      </c>
      <c r="G90" s="46">
        <f t="shared" si="24"/>
        <v>1.06</v>
      </c>
      <c r="H90" s="5">
        <f t="shared" si="31"/>
        <v>64.7</v>
      </c>
      <c r="I90" s="4"/>
      <c r="J90" s="4">
        <v>0.06</v>
      </c>
      <c r="K90" s="5">
        <f t="shared" si="33"/>
        <v>26.7</v>
      </c>
      <c r="L90" s="4">
        <v>38</v>
      </c>
      <c r="M90" s="7">
        <f t="shared" si="32"/>
        <v>1.1453932584269664</v>
      </c>
      <c r="N90" s="6"/>
    </row>
    <row r="91" spans="1:14" x14ac:dyDescent="0.25">
      <c r="A91" s="4">
        <v>450</v>
      </c>
      <c r="B91" s="5">
        <f t="shared" si="26"/>
        <v>515</v>
      </c>
      <c r="C91" s="5">
        <f t="shared" si="27"/>
        <v>143.23944878270581</v>
      </c>
      <c r="D91" s="34">
        <f t="shared" si="28"/>
        <v>155.23944878270581</v>
      </c>
      <c r="E91" s="34">
        <f t="shared" si="29"/>
        <v>487.6991118430775</v>
      </c>
      <c r="F91" s="39">
        <f t="shared" si="30"/>
        <v>243.84955592153875</v>
      </c>
      <c r="G91" s="46">
        <f t="shared" si="24"/>
        <v>1.06</v>
      </c>
      <c r="H91" s="5">
        <f t="shared" si="31"/>
        <v>65</v>
      </c>
      <c r="I91" s="4"/>
      <c r="J91" s="4">
        <v>0.06</v>
      </c>
      <c r="K91" s="5">
        <f t="shared" si="33"/>
        <v>27</v>
      </c>
      <c r="L91" s="4">
        <v>38</v>
      </c>
      <c r="M91" s="7">
        <f t="shared" si="32"/>
        <v>1.1444444444444444</v>
      </c>
      <c r="N91" s="6"/>
    </row>
    <row r="92" spans="1:14" x14ac:dyDescent="0.25">
      <c r="A92" s="4">
        <v>455</v>
      </c>
      <c r="B92" s="5">
        <f t="shared" si="26"/>
        <v>520.29999999999995</v>
      </c>
      <c r="C92" s="5">
        <f t="shared" si="27"/>
        <v>144.83099821362475</v>
      </c>
      <c r="D92" s="34">
        <f t="shared" si="28"/>
        <v>156.83099821362475</v>
      </c>
      <c r="E92" s="34">
        <f t="shared" si="29"/>
        <v>492.6991118430775</v>
      </c>
      <c r="F92" s="39">
        <f t="shared" si="30"/>
        <v>246.34955592153875</v>
      </c>
      <c r="G92" s="46">
        <f t="shared" si="24"/>
        <v>1.06</v>
      </c>
      <c r="H92" s="5">
        <f t="shared" si="31"/>
        <v>65.3</v>
      </c>
      <c r="I92" s="4"/>
      <c r="J92" s="4">
        <v>0.06</v>
      </c>
      <c r="K92" s="5">
        <f t="shared" si="33"/>
        <v>27.3</v>
      </c>
      <c r="L92" s="4">
        <v>38</v>
      </c>
      <c r="M92" s="7">
        <f t="shared" si="32"/>
        <v>1.1435164835164835</v>
      </c>
      <c r="N92" s="6"/>
    </row>
    <row r="93" spans="1:14" x14ac:dyDescent="0.25">
      <c r="A93" s="4">
        <v>460</v>
      </c>
      <c r="B93" s="5">
        <f t="shared" si="26"/>
        <v>525.6</v>
      </c>
      <c r="C93" s="5">
        <f t="shared" si="27"/>
        <v>146.42254764454373</v>
      </c>
      <c r="D93" s="34">
        <f t="shared" si="28"/>
        <v>158.42254764454373</v>
      </c>
      <c r="E93" s="34">
        <f t="shared" si="29"/>
        <v>497.69911184307756</v>
      </c>
      <c r="F93" s="39">
        <f t="shared" si="30"/>
        <v>248.84955592153878</v>
      </c>
      <c r="G93" s="46">
        <f t="shared" si="24"/>
        <v>1.06</v>
      </c>
      <c r="H93" s="5">
        <f t="shared" si="31"/>
        <v>65.599999999999994</v>
      </c>
      <c r="I93" s="4"/>
      <c r="J93" s="4">
        <v>0.06</v>
      </c>
      <c r="K93" s="5">
        <f t="shared" si="33"/>
        <v>27.599999999999998</v>
      </c>
      <c r="L93" s="4">
        <v>38</v>
      </c>
      <c r="M93" s="7">
        <f t="shared" si="32"/>
        <v>1.1426086956521739</v>
      </c>
      <c r="N93" s="6"/>
    </row>
    <row r="94" spans="1:14" x14ac:dyDescent="0.25">
      <c r="A94" s="4">
        <v>465</v>
      </c>
      <c r="B94" s="5">
        <f t="shared" si="26"/>
        <v>530.9</v>
      </c>
      <c r="C94" s="5">
        <f t="shared" si="27"/>
        <v>148.01409707546267</v>
      </c>
      <c r="D94" s="34">
        <f t="shared" si="28"/>
        <v>160.01409707546267</v>
      </c>
      <c r="E94" s="34">
        <f t="shared" si="29"/>
        <v>502.6991118430775</v>
      </c>
      <c r="F94" s="39">
        <f t="shared" si="30"/>
        <v>251.34955592153875</v>
      </c>
      <c r="G94" s="46">
        <f t="shared" si="24"/>
        <v>1.06</v>
      </c>
      <c r="H94" s="5">
        <f t="shared" si="31"/>
        <v>65.900000000000006</v>
      </c>
      <c r="I94" s="4"/>
      <c r="J94" s="4">
        <v>0.06</v>
      </c>
      <c r="K94" s="5">
        <f t="shared" si="33"/>
        <v>27.9</v>
      </c>
      <c r="L94" s="4">
        <v>38</v>
      </c>
      <c r="M94" s="7">
        <f t="shared" si="32"/>
        <v>1.1417204301075268</v>
      </c>
      <c r="N94" s="6"/>
    </row>
    <row r="95" spans="1:14" x14ac:dyDescent="0.25">
      <c r="A95" s="4">
        <v>470</v>
      </c>
      <c r="B95" s="5">
        <f t="shared" si="26"/>
        <v>536.20000000000005</v>
      </c>
      <c r="C95" s="5">
        <f t="shared" si="27"/>
        <v>149.60564650638162</v>
      </c>
      <c r="D95" s="34">
        <f t="shared" si="28"/>
        <v>161.60564650638162</v>
      </c>
      <c r="E95" s="34">
        <f t="shared" si="29"/>
        <v>507.6991118430775</v>
      </c>
      <c r="F95" s="39">
        <f t="shared" si="30"/>
        <v>253.84955592153875</v>
      </c>
      <c r="G95" s="46">
        <f t="shared" si="24"/>
        <v>1.06</v>
      </c>
      <c r="H95" s="5">
        <f t="shared" si="31"/>
        <v>66.2</v>
      </c>
      <c r="I95" s="4"/>
      <c r="J95" s="4">
        <v>0.06</v>
      </c>
      <c r="K95" s="5">
        <f t="shared" si="33"/>
        <v>28.2</v>
      </c>
      <c r="L95" s="4">
        <v>38</v>
      </c>
      <c r="M95" s="7">
        <f t="shared" si="32"/>
        <v>1.1408510638297873</v>
      </c>
      <c r="N95" s="6"/>
    </row>
    <row r="96" spans="1:14" x14ac:dyDescent="0.25">
      <c r="A96" s="4">
        <v>475</v>
      </c>
      <c r="B96" s="5">
        <f t="shared" si="26"/>
        <v>541.5</v>
      </c>
      <c r="C96" s="5">
        <f t="shared" si="27"/>
        <v>151.19719593730056</v>
      </c>
      <c r="D96" s="34">
        <f t="shared" si="28"/>
        <v>163.19719593730056</v>
      </c>
      <c r="E96" s="34">
        <f t="shared" si="29"/>
        <v>512.6991118430775</v>
      </c>
      <c r="F96" s="39">
        <f t="shared" si="30"/>
        <v>256.34955592153875</v>
      </c>
      <c r="G96" s="46">
        <f t="shared" si="24"/>
        <v>1.06</v>
      </c>
      <c r="H96" s="5">
        <f t="shared" si="31"/>
        <v>66.5</v>
      </c>
      <c r="I96" s="4"/>
      <c r="J96" s="4">
        <v>0.06</v>
      </c>
      <c r="K96" s="5">
        <f t="shared" si="33"/>
        <v>28.5</v>
      </c>
      <c r="L96" s="4">
        <v>38</v>
      </c>
      <c r="M96" s="7">
        <f t="shared" si="32"/>
        <v>1.1399999999999999</v>
      </c>
      <c r="N96" s="6"/>
    </row>
    <row r="97" spans="1:14" x14ac:dyDescent="0.25">
      <c r="A97" s="4">
        <v>480</v>
      </c>
      <c r="B97" s="5">
        <f t="shared" si="26"/>
        <v>546.79999999999995</v>
      </c>
      <c r="C97" s="5">
        <f t="shared" si="27"/>
        <v>152.78874536821954</v>
      </c>
      <c r="D97" s="34">
        <f t="shared" si="28"/>
        <v>164.78874536821954</v>
      </c>
      <c r="E97" s="34">
        <f t="shared" si="29"/>
        <v>517.6991118430775</v>
      </c>
      <c r="F97" s="39">
        <f t="shared" si="30"/>
        <v>258.84955592153875</v>
      </c>
      <c r="G97" s="46">
        <f t="shared" si="24"/>
        <v>1.06</v>
      </c>
      <c r="H97" s="5">
        <f t="shared" si="31"/>
        <v>66.8</v>
      </c>
      <c r="I97" s="4"/>
      <c r="J97" s="4">
        <v>0.06</v>
      </c>
      <c r="K97" s="5">
        <f t="shared" si="33"/>
        <v>28.799999999999997</v>
      </c>
      <c r="L97" s="4">
        <v>38</v>
      </c>
      <c r="M97" s="7">
        <f t="shared" si="32"/>
        <v>1.1391666666666667</v>
      </c>
      <c r="N97" s="6"/>
    </row>
    <row r="98" spans="1:14" x14ac:dyDescent="0.25">
      <c r="A98" s="4">
        <v>485</v>
      </c>
      <c r="B98" s="5">
        <f t="shared" si="26"/>
        <v>552.1</v>
      </c>
      <c r="C98" s="5">
        <f t="shared" si="27"/>
        <v>154.38029479913848</v>
      </c>
      <c r="D98" s="34">
        <f t="shared" si="28"/>
        <v>166.38029479913848</v>
      </c>
      <c r="E98" s="34">
        <f t="shared" si="29"/>
        <v>522.6991118430775</v>
      </c>
      <c r="F98" s="39">
        <f t="shared" si="30"/>
        <v>261.34955592153875</v>
      </c>
      <c r="G98" s="46">
        <f t="shared" si="24"/>
        <v>1.06</v>
      </c>
      <c r="H98" s="5">
        <f t="shared" si="31"/>
        <v>67.099999999999994</v>
      </c>
      <c r="I98" s="4"/>
      <c r="J98" s="4">
        <v>0.06</v>
      </c>
      <c r="K98" s="5">
        <f t="shared" si="33"/>
        <v>29.099999999999998</v>
      </c>
      <c r="L98" s="4">
        <v>38</v>
      </c>
      <c r="M98" s="7">
        <f t="shared" si="32"/>
        <v>1.1383505154639175</v>
      </c>
      <c r="N98" s="6"/>
    </row>
    <row r="99" spans="1:14" x14ac:dyDescent="0.25">
      <c r="A99" s="4">
        <v>490</v>
      </c>
      <c r="B99" s="5">
        <f t="shared" si="26"/>
        <v>557.4</v>
      </c>
      <c r="C99" s="5">
        <f t="shared" si="27"/>
        <v>155.97184423005743</v>
      </c>
      <c r="D99" s="34">
        <f t="shared" si="28"/>
        <v>167.97184423005743</v>
      </c>
      <c r="E99" s="34">
        <f t="shared" si="29"/>
        <v>527.6991118430775</v>
      </c>
      <c r="F99" s="39">
        <f t="shared" si="30"/>
        <v>263.84955592153875</v>
      </c>
      <c r="G99" s="46">
        <f t="shared" si="24"/>
        <v>1.06</v>
      </c>
      <c r="H99" s="5">
        <f t="shared" si="31"/>
        <v>67.400000000000006</v>
      </c>
      <c r="I99" s="4"/>
      <c r="J99" s="4">
        <v>0.06</v>
      </c>
      <c r="K99" s="5">
        <f t="shared" si="33"/>
        <v>29.4</v>
      </c>
      <c r="L99" s="4">
        <v>38</v>
      </c>
      <c r="M99" s="7">
        <f t="shared" si="32"/>
        <v>1.1375510204081631</v>
      </c>
      <c r="N99" s="6"/>
    </row>
    <row r="100" spans="1:14" x14ac:dyDescent="0.25">
      <c r="A100" s="4">
        <v>495</v>
      </c>
      <c r="B100" s="5">
        <f t="shared" si="26"/>
        <v>562.70000000000005</v>
      </c>
      <c r="C100" s="5">
        <f t="shared" si="27"/>
        <v>157.5633936609764</v>
      </c>
      <c r="D100" s="34">
        <f t="shared" si="28"/>
        <v>169.5633936609764</v>
      </c>
      <c r="E100" s="34">
        <f t="shared" si="29"/>
        <v>532.6991118430775</v>
      </c>
      <c r="F100" s="39">
        <f t="shared" si="30"/>
        <v>266.34955592153875</v>
      </c>
      <c r="G100" s="46">
        <f t="shared" si="24"/>
        <v>1.06</v>
      </c>
      <c r="H100" s="5">
        <f t="shared" si="31"/>
        <v>67.7</v>
      </c>
      <c r="I100" s="4"/>
      <c r="J100" s="4">
        <v>0.06</v>
      </c>
      <c r="K100" s="5">
        <f t="shared" si="33"/>
        <v>29.7</v>
      </c>
      <c r="L100" s="4">
        <v>38</v>
      </c>
      <c r="M100" s="7">
        <f t="shared" si="32"/>
        <v>1.1367676767676769</v>
      </c>
      <c r="N100" s="6"/>
    </row>
    <row r="101" spans="1:14" x14ac:dyDescent="0.25">
      <c r="A101" s="4">
        <v>500</v>
      </c>
      <c r="B101" s="5">
        <f t="shared" si="26"/>
        <v>568</v>
      </c>
      <c r="C101" s="5">
        <f t="shared" si="27"/>
        <v>159.15494309189535</v>
      </c>
      <c r="D101" s="34">
        <f t="shared" si="28"/>
        <v>171.15494309189535</v>
      </c>
      <c r="E101" s="34">
        <f t="shared" si="29"/>
        <v>537.6991118430775</v>
      </c>
      <c r="F101" s="39">
        <f t="shared" si="30"/>
        <v>268.84955592153875</v>
      </c>
      <c r="G101" s="46">
        <f t="shared" si="24"/>
        <v>1.06</v>
      </c>
      <c r="H101" s="5">
        <f t="shared" si="31"/>
        <v>68</v>
      </c>
      <c r="I101" s="4"/>
      <c r="J101" s="4">
        <v>0.06</v>
      </c>
      <c r="K101" s="5">
        <f t="shared" si="33"/>
        <v>30</v>
      </c>
      <c r="L101" s="4">
        <v>38</v>
      </c>
      <c r="M101" s="7">
        <f t="shared" si="32"/>
        <v>1.1359999999999999</v>
      </c>
      <c r="N101" s="6"/>
    </row>
    <row r="102" spans="1:14" x14ac:dyDescent="0.25">
      <c r="A102" s="4">
        <v>510</v>
      </c>
      <c r="B102" s="5">
        <f t="shared" ref="B102:B103" si="34">A102+K102+L102</f>
        <v>578.6</v>
      </c>
      <c r="C102" s="5">
        <f t="shared" ref="C102:C103" si="35">A102/PI()</f>
        <v>162.33804195373324</v>
      </c>
      <c r="D102" s="34">
        <f t="shared" ref="D102:D103" si="36">C102+12</f>
        <v>174.33804195373324</v>
      </c>
      <c r="E102" s="34">
        <f t="shared" ref="E102:E103" si="37">D102*PI()</f>
        <v>547.6991118430775</v>
      </c>
      <c r="F102" s="39">
        <f t="shared" ref="F102:F103" si="38">E102/2</f>
        <v>273.84955592153875</v>
      </c>
      <c r="G102" s="46">
        <f t="shared" si="24"/>
        <v>1.06</v>
      </c>
      <c r="H102" s="5">
        <f t="shared" ref="H102:H103" si="39">K102+L102</f>
        <v>68.599999999999994</v>
      </c>
      <c r="I102" s="4"/>
      <c r="J102" s="4">
        <v>0.06</v>
      </c>
      <c r="K102" s="5">
        <f>A102*J102</f>
        <v>30.599999999999998</v>
      </c>
      <c r="L102" s="4">
        <v>38</v>
      </c>
      <c r="M102" s="7">
        <f t="shared" ref="M102:M103" si="40">B102/A102</f>
        <v>1.1345098039215686</v>
      </c>
      <c r="N102" s="6"/>
    </row>
    <row r="103" spans="1:14" x14ac:dyDescent="0.25">
      <c r="A103" s="4">
        <v>520</v>
      </c>
      <c r="B103" s="5">
        <f t="shared" si="34"/>
        <v>589.20000000000005</v>
      </c>
      <c r="C103" s="5">
        <f t="shared" si="35"/>
        <v>165.52114081557116</v>
      </c>
      <c r="D103" s="34">
        <f t="shared" si="36"/>
        <v>177.52114081557116</v>
      </c>
      <c r="E103" s="34">
        <f t="shared" si="37"/>
        <v>557.6991118430775</v>
      </c>
      <c r="F103" s="39">
        <f t="shared" si="38"/>
        <v>278.84955592153875</v>
      </c>
      <c r="G103" s="46">
        <f t="shared" si="24"/>
        <v>1.06</v>
      </c>
      <c r="H103" s="5">
        <f t="shared" si="39"/>
        <v>69.2</v>
      </c>
      <c r="I103" s="4"/>
      <c r="J103" s="4">
        <v>0.06</v>
      </c>
      <c r="K103" s="5">
        <f t="shared" ref="K103" si="41">A103*J103</f>
        <v>31.2</v>
      </c>
      <c r="L103" s="4">
        <v>38</v>
      </c>
      <c r="M103" s="7">
        <f t="shared" si="40"/>
        <v>1.1330769230769231</v>
      </c>
      <c r="N103" s="6"/>
    </row>
    <row r="104" spans="1:14" x14ac:dyDescent="0.25">
      <c r="A104" s="4">
        <v>530</v>
      </c>
      <c r="B104" s="5">
        <f t="shared" ref="B104:B109" si="42">A104+K104+L104</f>
        <v>599.79999999999995</v>
      </c>
      <c r="C104" s="5">
        <f t="shared" ref="C104:C109" si="43">A104/PI()</f>
        <v>168.70423967740905</v>
      </c>
      <c r="D104" s="34">
        <f t="shared" ref="D104:D109" si="44">C104+12</f>
        <v>180.70423967740905</v>
      </c>
      <c r="E104" s="34">
        <f t="shared" ref="E104:E109" si="45">D104*PI()</f>
        <v>567.6991118430775</v>
      </c>
      <c r="F104" s="39">
        <f t="shared" ref="F104:F109" si="46">E104/2</f>
        <v>283.84955592153875</v>
      </c>
      <c r="G104" s="46">
        <f t="shared" si="24"/>
        <v>1.06</v>
      </c>
      <c r="H104" s="5">
        <f t="shared" ref="H104:H109" si="47">K104+L104</f>
        <v>69.8</v>
      </c>
      <c r="I104" s="4"/>
      <c r="J104" s="4">
        <v>0.06</v>
      </c>
      <c r="K104" s="5">
        <f t="shared" ref="K104:K109" si="48">A104*J104</f>
        <v>31.799999999999997</v>
      </c>
      <c r="L104" s="4">
        <v>38</v>
      </c>
      <c r="M104" s="7">
        <f t="shared" ref="M104:M109" si="49">B104/A104</f>
        <v>1.131698113207547</v>
      </c>
      <c r="N104" s="6"/>
    </row>
    <row r="105" spans="1:14" x14ac:dyDescent="0.25">
      <c r="A105" s="4">
        <v>540</v>
      </c>
      <c r="B105" s="5">
        <f t="shared" si="42"/>
        <v>610.4</v>
      </c>
      <c r="C105" s="5">
        <f t="shared" si="43"/>
        <v>171.88733853924697</v>
      </c>
      <c r="D105" s="34">
        <f t="shared" si="44"/>
        <v>183.88733853924697</v>
      </c>
      <c r="E105" s="34">
        <f t="shared" si="45"/>
        <v>577.6991118430775</v>
      </c>
      <c r="F105" s="39">
        <f t="shared" si="46"/>
        <v>288.84955592153875</v>
      </c>
      <c r="G105" s="46">
        <f t="shared" si="24"/>
        <v>1.06</v>
      </c>
      <c r="H105" s="5">
        <f t="shared" si="47"/>
        <v>70.400000000000006</v>
      </c>
      <c r="I105" s="4"/>
      <c r="J105" s="4">
        <v>0.06</v>
      </c>
      <c r="K105" s="5">
        <f t="shared" si="48"/>
        <v>32.4</v>
      </c>
      <c r="L105" s="4">
        <v>38</v>
      </c>
      <c r="M105" s="7">
        <f t="shared" si="49"/>
        <v>1.1303703703703702</v>
      </c>
      <c r="N105" s="6"/>
    </row>
    <row r="106" spans="1:14" x14ac:dyDescent="0.25">
      <c r="A106" s="4">
        <v>550</v>
      </c>
      <c r="B106" s="5">
        <f t="shared" si="42"/>
        <v>621</v>
      </c>
      <c r="C106" s="5">
        <f t="shared" si="43"/>
        <v>175.07043740108489</v>
      </c>
      <c r="D106" s="34">
        <f t="shared" si="44"/>
        <v>187.07043740108489</v>
      </c>
      <c r="E106" s="34">
        <f t="shared" si="45"/>
        <v>587.6991118430775</v>
      </c>
      <c r="F106" s="39">
        <f t="shared" si="46"/>
        <v>293.84955592153875</v>
      </c>
      <c r="G106" s="46">
        <f t="shared" si="24"/>
        <v>1.06</v>
      </c>
      <c r="H106" s="5">
        <f t="shared" si="47"/>
        <v>71</v>
      </c>
      <c r="I106" s="4"/>
      <c r="J106" s="4">
        <v>0.06</v>
      </c>
      <c r="K106" s="5">
        <f t="shared" si="48"/>
        <v>33</v>
      </c>
      <c r="L106" s="4">
        <v>38</v>
      </c>
      <c r="M106" s="7">
        <f t="shared" si="49"/>
        <v>1.1290909090909091</v>
      </c>
      <c r="N106" s="6"/>
    </row>
    <row r="107" spans="1:14" x14ac:dyDescent="0.25">
      <c r="A107" s="4">
        <v>560</v>
      </c>
      <c r="B107" s="5">
        <f t="shared" si="42"/>
        <v>631.6</v>
      </c>
      <c r="C107" s="5">
        <f t="shared" si="43"/>
        <v>178.25353626292278</v>
      </c>
      <c r="D107" s="34">
        <f t="shared" si="44"/>
        <v>190.25353626292278</v>
      </c>
      <c r="E107" s="34">
        <f t="shared" si="45"/>
        <v>597.6991118430775</v>
      </c>
      <c r="F107" s="39">
        <f t="shared" si="46"/>
        <v>298.84955592153875</v>
      </c>
      <c r="G107" s="46">
        <f t="shared" si="24"/>
        <v>1.06</v>
      </c>
      <c r="H107" s="5">
        <f t="shared" si="47"/>
        <v>71.599999999999994</v>
      </c>
      <c r="I107" s="4"/>
      <c r="J107" s="4">
        <v>0.06</v>
      </c>
      <c r="K107" s="5">
        <f t="shared" si="48"/>
        <v>33.6</v>
      </c>
      <c r="L107" s="4">
        <v>38</v>
      </c>
      <c r="M107" s="7">
        <f t="shared" si="49"/>
        <v>1.1278571428571429</v>
      </c>
      <c r="N107" s="6"/>
    </row>
    <row r="108" spans="1:14" x14ac:dyDescent="0.25">
      <c r="A108" s="4">
        <v>570</v>
      </c>
      <c r="B108" s="5">
        <f t="shared" si="42"/>
        <v>642.20000000000005</v>
      </c>
      <c r="C108" s="5">
        <f t="shared" si="43"/>
        <v>181.4366351247607</v>
      </c>
      <c r="D108" s="34">
        <f t="shared" si="44"/>
        <v>193.4366351247607</v>
      </c>
      <c r="E108" s="34">
        <f t="shared" si="45"/>
        <v>607.6991118430775</v>
      </c>
      <c r="F108" s="39">
        <f t="shared" si="46"/>
        <v>303.84955592153875</v>
      </c>
      <c r="G108" s="46">
        <f t="shared" si="24"/>
        <v>1.06</v>
      </c>
      <c r="H108" s="5">
        <f t="shared" si="47"/>
        <v>72.199999999999989</v>
      </c>
      <c r="I108" s="4"/>
      <c r="J108" s="4">
        <v>0.06</v>
      </c>
      <c r="K108" s="5">
        <f t="shared" si="48"/>
        <v>34.199999999999996</v>
      </c>
      <c r="L108" s="4">
        <v>38</v>
      </c>
      <c r="M108" s="7">
        <f t="shared" si="49"/>
        <v>1.1266666666666667</v>
      </c>
      <c r="N108" s="6"/>
    </row>
    <row r="109" spans="1:14" x14ac:dyDescent="0.25">
      <c r="A109" s="4">
        <v>580</v>
      </c>
      <c r="B109" s="5">
        <f t="shared" si="42"/>
        <v>652.79999999999995</v>
      </c>
      <c r="C109" s="5">
        <f t="shared" si="43"/>
        <v>184.61973398659859</v>
      </c>
      <c r="D109" s="34">
        <f t="shared" si="44"/>
        <v>196.61973398659859</v>
      </c>
      <c r="E109" s="34">
        <f t="shared" si="45"/>
        <v>617.6991118430775</v>
      </c>
      <c r="F109" s="39">
        <f t="shared" si="46"/>
        <v>308.84955592153875</v>
      </c>
      <c r="G109" s="46">
        <f t="shared" si="24"/>
        <v>1.06</v>
      </c>
      <c r="H109" s="5">
        <f t="shared" si="47"/>
        <v>72.8</v>
      </c>
      <c r="I109" s="4"/>
      <c r="J109" s="4">
        <v>0.06</v>
      </c>
      <c r="K109" s="5">
        <f t="shared" si="48"/>
        <v>34.799999999999997</v>
      </c>
      <c r="L109" s="4">
        <v>38</v>
      </c>
      <c r="M109" s="7">
        <f t="shared" si="49"/>
        <v>1.1255172413793102</v>
      </c>
      <c r="N109" s="6"/>
    </row>
    <row r="110" spans="1:14" x14ac:dyDescent="0.25">
      <c r="A110" s="4">
        <v>590</v>
      </c>
      <c r="B110" s="5">
        <f t="shared" ref="B110:B173" si="50">A110+K110+L110</f>
        <v>663.4</v>
      </c>
      <c r="C110" s="5">
        <f t="shared" ref="C110:C173" si="51">A110/PI()</f>
        <v>187.80283284843651</v>
      </c>
      <c r="D110" s="34">
        <f t="shared" ref="D110:D173" si="52">C110+12</f>
        <v>199.80283284843651</v>
      </c>
      <c r="E110" s="34">
        <f t="shared" ref="E110:E173" si="53">D110*PI()</f>
        <v>627.6991118430775</v>
      </c>
      <c r="F110" s="39">
        <f t="shared" ref="F110:F173" si="54">E110/2</f>
        <v>313.84955592153875</v>
      </c>
      <c r="G110" s="46">
        <f t="shared" si="24"/>
        <v>1.06</v>
      </c>
      <c r="H110" s="5">
        <f t="shared" ref="H110:H173" si="55">K110+L110</f>
        <v>73.400000000000006</v>
      </c>
      <c r="I110" s="4"/>
      <c r="J110" s="4">
        <v>0.06</v>
      </c>
      <c r="K110" s="5">
        <f t="shared" ref="K110:K173" si="56">A110*J110</f>
        <v>35.4</v>
      </c>
      <c r="L110" s="4">
        <v>38</v>
      </c>
      <c r="M110" s="7">
        <f t="shared" ref="M110:M173" si="57">B110/A110</f>
        <v>1.1244067796610169</v>
      </c>
      <c r="N110" s="6"/>
    </row>
    <row r="111" spans="1:14" x14ac:dyDescent="0.25">
      <c r="A111" s="4">
        <v>600</v>
      </c>
      <c r="B111" s="5">
        <f t="shared" si="50"/>
        <v>674</v>
      </c>
      <c r="C111" s="5">
        <f t="shared" si="51"/>
        <v>190.9859317102744</v>
      </c>
      <c r="D111" s="34">
        <f t="shared" si="52"/>
        <v>202.9859317102744</v>
      </c>
      <c r="E111" s="34">
        <f t="shared" si="53"/>
        <v>637.6991118430775</v>
      </c>
      <c r="F111" s="39">
        <f t="shared" si="54"/>
        <v>318.84955592153875</v>
      </c>
      <c r="G111" s="46">
        <f t="shared" si="24"/>
        <v>1.06</v>
      </c>
      <c r="H111" s="5">
        <f t="shared" si="55"/>
        <v>74</v>
      </c>
      <c r="I111" s="4"/>
      <c r="J111" s="4">
        <v>0.06</v>
      </c>
      <c r="K111" s="5">
        <f t="shared" si="56"/>
        <v>36</v>
      </c>
      <c r="L111" s="4">
        <v>38</v>
      </c>
      <c r="M111" s="7">
        <f t="shared" si="57"/>
        <v>1.1233333333333333</v>
      </c>
      <c r="N111" s="6"/>
    </row>
    <row r="112" spans="1:14" x14ac:dyDescent="0.25">
      <c r="A112" s="4">
        <v>610</v>
      </c>
      <c r="B112" s="5">
        <f t="shared" si="50"/>
        <v>684.6</v>
      </c>
      <c r="C112" s="5">
        <f t="shared" si="51"/>
        <v>194.16903057211232</v>
      </c>
      <c r="D112" s="34">
        <f t="shared" si="52"/>
        <v>206.16903057211232</v>
      </c>
      <c r="E112" s="34">
        <f t="shared" si="53"/>
        <v>647.6991118430775</v>
      </c>
      <c r="F112" s="39">
        <f t="shared" si="54"/>
        <v>323.84955592153875</v>
      </c>
      <c r="G112" s="46">
        <f t="shared" si="24"/>
        <v>1.06</v>
      </c>
      <c r="H112" s="5">
        <f t="shared" si="55"/>
        <v>74.599999999999994</v>
      </c>
      <c r="I112" s="4"/>
      <c r="J112" s="4">
        <v>0.06</v>
      </c>
      <c r="K112" s="5">
        <f t="shared" si="56"/>
        <v>36.6</v>
      </c>
      <c r="L112" s="4">
        <v>38</v>
      </c>
      <c r="M112" s="7">
        <f t="shared" si="57"/>
        <v>1.1222950819672131</v>
      </c>
      <c r="N112" s="6"/>
    </row>
    <row r="113" spans="1:14" x14ac:dyDescent="0.25">
      <c r="A113" s="4">
        <v>620</v>
      </c>
      <c r="B113" s="5">
        <f t="shared" si="50"/>
        <v>695.2</v>
      </c>
      <c r="C113" s="5">
        <f t="shared" si="51"/>
        <v>197.35212943395021</v>
      </c>
      <c r="D113" s="34">
        <f t="shared" si="52"/>
        <v>209.35212943395021</v>
      </c>
      <c r="E113" s="34">
        <f t="shared" si="53"/>
        <v>657.6991118430775</v>
      </c>
      <c r="F113" s="39">
        <f t="shared" si="54"/>
        <v>328.84955592153875</v>
      </c>
      <c r="G113" s="46">
        <f t="shared" si="24"/>
        <v>1.06</v>
      </c>
      <c r="H113" s="5">
        <f t="shared" si="55"/>
        <v>75.199999999999989</v>
      </c>
      <c r="I113" s="4"/>
      <c r="J113" s="4">
        <v>0.06</v>
      </c>
      <c r="K113" s="5">
        <f t="shared" si="56"/>
        <v>37.199999999999996</v>
      </c>
      <c r="L113" s="4">
        <v>38</v>
      </c>
      <c r="M113" s="7">
        <f t="shared" si="57"/>
        <v>1.1212903225806452</v>
      </c>
      <c r="N113" s="6"/>
    </row>
    <row r="114" spans="1:14" x14ac:dyDescent="0.25">
      <c r="A114" s="4">
        <v>630</v>
      </c>
      <c r="B114" s="5">
        <f t="shared" si="50"/>
        <v>705.8</v>
      </c>
      <c r="C114" s="5">
        <f t="shared" si="51"/>
        <v>200.53522829578813</v>
      </c>
      <c r="D114" s="34">
        <f t="shared" si="52"/>
        <v>212.53522829578813</v>
      </c>
      <c r="E114" s="34">
        <f t="shared" si="53"/>
        <v>667.6991118430775</v>
      </c>
      <c r="F114" s="39">
        <f t="shared" si="54"/>
        <v>333.84955592153875</v>
      </c>
      <c r="G114" s="46">
        <f t="shared" si="24"/>
        <v>1.06</v>
      </c>
      <c r="H114" s="5">
        <f t="shared" si="55"/>
        <v>75.8</v>
      </c>
      <c r="I114" s="4"/>
      <c r="J114" s="4">
        <v>0.06</v>
      </c>
      <c r="K114" s="5">
        <f t="shared" si="56"/>
        <v>37.799999999999997</v>
      </c>
      <c r="L114" s="4">
        <v>38</v>
      </c>
      <c r="M114" s="7">
        <f t="shared" si="57"/>
        <v>1.1203174603174602</v>
      </c>
      <c r="N114" s="6"/>
    </row>
    <row r="115" spans="1:14" x14ac:dyDescent="0.25">
      <c r="A115" s="4">
        <v>640</v>
      </c>
      <c r="B115" s="5">
        <f t="shared" si="50"/>
        <v>716.4</v>
      </c>
      <c r="C115" s="5">
        <f t="shared" si="51"/>
        <v>203.71832715762605</v>
      </c>
      <c r="D115" s="34">
        <f t="shared" si="52"/>
        <v>215.71832715762605</v>
      </c>
      <c r="E115" s="34">
        <f t="shared" si="53"/>
        <v>677.6991118430775</v>
      </c>
      <c r="F115" s="39">
        <f t="shared" si="54"/>
        <v>338.84955592153875</v>
      </c>
      <c r="G115" s="46">
        <f t="shared" si="24"/>
        <v>1.06</v>
      </c>
      <c r="H115" s="5">
        <f t="shared" si="55"/>
        <v>76.400000000000006</v>
      </c>
      <c r="I115" s="4"/>
      <c r="J115" s="4">
        <v>0.06</v>
      </c>
      <c r="K115" s="5">
        <f t="shared" si="56"/>
        <v>38.4</v>
      </c>
      <c r="L115" s="4">
        <v>38</v>
      </c>
      <c r="M115" s="7">
        <f t="shared" si="57"/>
        <v>1.119375</v>
      </c>
      <c r="N115" s="6"/>
    </row>
    <row r="116" spans="1:14" x14ac:dyDescent="0.25">
      <c r="A116" s="4">
        <v>650</v>
      </c>
      <c r="B116" s="5">
        <f t="shared" si="50"/>
        <v>727</v>
      </c>
      <c r="C116" s="5">
        <f t="shared" si="51"/>
        <v>206.90142601946394</v>
      </c>
      <c r="D116" s="34">
        <f t="shared" si="52"/>
        <v>218.90142601946394</v>
      </c>
      <c r="E116" s="34">
        <f t="shared" si="53"/>
        <v>687.6991118430775</v>
      </c>
      <c r="F116" s="39">
        <f t="shared" si="54"/>
        <v>343.84955592153875</v>
      </c>
      <c r="G116" s="46">
        <f t="shared" si="24"/>
        <v>1.06</v>
      </c>
      <c r="H116" s="5">
        <f t="shared" si="55"/>
        <v>77</v>
      </c>
      <c r="I116" s="4"/>
      <c r="J116" s="4">
        <v>0.06</v>
      </c>
      <c r="K116" s="5">
        <f t="shared" si="56"/>
        <v>39</v>
      </c>
      <c r="L116" s="4">
        <v>38</v>
      </c>
      <c r="M116" s="7">
        <f t="shared" si="57"/>
        <v>1.1184615384615384</v>
      </c>
      <c r="N116" s="6"/>
    </row>
    <row r="117" spans="1:14" x14ac:dyDescent="0.25">
      <c r="A117" s="4">
        <v>660</v>
      </c>
      <c r="B117" s="5">
        <f t="shared" si="50"/>
        <v>737.6</v>
      </c>
      <c r="C117" s="5">
        <f t="shared" si="51"/>
        <v>210.08452488130186</v>
      </c>
      <c r="D117" s="34">
        <f t="shared" si="52"/>
        <v>222.08452488130186</v>
      </c>
      <c r="E117" s="34">
        <f t="shared" si="53"/>
        <v>697.6991118430775</v>
      </c>
      <c r="F117" s="39">
        <f t="shared" si="54"/>
        <v>348.84955592153875</v>
      </c>
      <c r="G117" s="46">
        <f t="shared" si="24"/>
        <v>1.06</v>
      </c>
      <c r="H117" s="5">
        <f t="shared" si="55"/>
        <v>77.599999999999994</v>
      </c>
      <c r="I117" s="4"/>
      <c r="J117" s="4">
        <v>0.06</v>
      </c>
      <c r="K117" s="5">
        <f t="shared" si="56"/>
        <v>39.6</v>
      </c>
      <c r="L117" s="4">
        <v>38</v>
      </c>
      <c r="M117" s="7">
        <f t="shared" si="57"/>
        <v>1.1175757575757577</v>
      </c>
      <c r="N117" s="6"/>
    </row>
    <row r="118" spans="1:14" x14ac:dyDescent="0.25">
      <c r="A118" s="4">
        <v>670</v>
      </c>
      <c r="B118" s="5">
        <f t="shared" si="50"/>
        <v>748.2</v>
      </c>
      <c r="C118" s="5">
        <f t="shared" si="51"/>
        <v>213.26762374313975</v>
      </c>
      <c r="D118" s="34">
        <f t="shared" si="52"/>
        <v>225.26762374313975</v>
      </c>
      <c r="E118" s="34">
        <f t="shared" si="53"/>
        <v>707.6991118430775</v>
      </c>
      <c r="F118" s="39">
        <f t="shared" si="54"/>
        <v>353.84955592153875</v>
      </c>
      <c r="G118" s="46">
        <f t="shared" si="24"/>
        <v>1.06</v>
      </c>
      <c r="H118" s="5">
        <f t="shared" si="55"/>
        <v>78.199999999999989</v>
      </c>
      <c r="I118" s="4"/>
      <c r="J118" s="4">
        <v>0.06</v>
      </c>
      <c r="K118" s="5">
        <f t="shared" si="56"/>
        <v>40.199999999999996</v>
      </c>
      <c r="L118" s="4">
        <v>38</v>
      </c>
      <c r="M118" s="7">
        <f t="shared" si="57"/>
        <v>1.1167164179104478</v>
      </c>
      <c r="N118" s="6"/>
    </row>
    <row r="119" spans="1:14" x14ac:dyDescent="0.25">
      <c r="A119" s="4">
        <v>680</v>
      </c>
      <c r="B119" s="5">
        <f t="shared" si="50"/>
        <v>758.8</v>
      </c>
      <c r="C119" s="5">
        <f t="shared" si="51"/>
        <v>216.45072260497767</v>
      </c>
      <c r="D119" s="34">
        <f t="shared" si="52"/>
        <v>228.45072260497767</v>
      </c>
      <c r="E119" s="34">
        <f t="shared" si="53"/>
        <v>717.6991118430775</v>
      </c>
      <c r="F119" s="39">
        <f t="shared" si="54"/>
        <v>358.84955592153875</v>
      </c>
      <c r="G119" s="46">
        <f t="shared" si="24"/>
        <v>1.06</v>
      </c>
      <c r="H119" s="5">
        <f t="shared" si="55"/>
        <v>78.8</v>
      </c>
      <c r="I119" s="4"/>
      <c r="J119" s="4">
        <v>0.06</v>
      </c>
      <c r="K119" s="5">
        <f t="shared" si="56"/>
        <v>40.799999999999997</v>
      </c>
      <c r="L119" s="4">
        <v>38</v>
      </c>
      <c r="M119" s="7">
        <f t="shared" si="57"/>
        <v>1.1158823529411763</v>
      </c>
      <c r="N119" s="6"/>
    </row>
    <row r="120" spans="1:14" x14ac:dyDescent="0.25">
      <c r="A120" s="4">
        <v>690</v>
      </c>
      <c r="B120" s="5">
        <f t="shared" si="50"/>
        <v>769.4</v>
      </c>
      <c r="C120" s="5">
        <f t="shared" si="51"/>
        <v>219.63382146681556</v>
      </c>
      <c r="D120" s="34">
        <f t="shared" si="52"/>
        <v>231.63382146681556</v>
      </c>
      <c r="E120" s="34">
        <f t="shared" si="53"/>
        <v>727.6991118430775</v>
      </c>
      <c r="F120" s="39">
        <f t="shared" si="54"/>
        <v>363.84955592153875</v>
      </c>
      <c r="G120" s="46">
        <f t="shared" si="24"/>
        <v>1.06</v>
      </c>
      <c r="H120" s="5">
        <f t="shared" si="55"/>
        <v>79.400000000000006</v>
      </c>
      <c r="I120" s="4"/>
      <c r="J120" s="4">
        <v>0.06</v>
      </c>
      <c r="K120" s="5">
        <f t="shared" si="56"/>
        <v>41.4</v>
      </c>
      <c r="L120" s="4">
        <v>38</v>
      </c>
      <c r="M120" s="7">
        <f t="shared" si="57"/>
        <v>1.115072463768116</v>
      </c>
      <c r="N120" s="6"/>
    </row>
    <row r="121" spans="1:14" x14ac:dyDescent="0.25">
      <c r="A121" s="4">
        <v>700</v>
      </c>
      <c r="B121" s="5">
        <f t="shared" si="50"/>
        <v>780</v>
      </c>
      <c r="C121" s="5">
        <f t="shared" si="51"/>
        <v>222.81692032865348</v>
      </c>
      <c r="D121" s="34">
        <f t="shared" si="52"/>
        <v>234.81692032865348</v>
      </c>
      <c r="E121" s="34">
        <f t="shared" si="53"/>
        <v>737.6991118430775</v>
      </c>
      <c r="F121" s="39">
        <f t="shared" si="54"/>
        <v>368.84955592153875</v>
      </c>
      <c r="G121" s="46">
        <f t="shared" si="24"/>
        <v>1.06</v>
      </c>
      <c r="H121" s="5">
        <f t="shared" si="55"/>
        <v>80</v>
      </c>
      <c r="I121" s="4"/>
      <c r="J121" s="4">
        <v>0.06</v>
      </c>
      <c r="K121" s="5">
        <f t="shared" si="56"/>
        <v>42</v>
      </c>
      <c r="L121" s="4">
        <v>38</v>
      </c>
      <c r="M121" s="7">
        <f t="shared" si="57"/>
        <v>1.1142857142857143</v>
      </c>
      <c r="N121" s="6"/>
    </row>
    <row r="122" spans="1:14" x14ac:dyDescent="0.25">
      <c r="A122" s="4">
        <v>710</v>
      </c>
      <c r="B122" s="5">
        <f t="shared" si="50"/>
        <v>790.6</v>
      </c>
      <c r="C122" s="5">
        <f t="shared" si="51"/>
        <v>226.00001919049137</v>
      </c>
      <c r="D122" s="34">
        <f t="shared" si="52"/>
        <v>238.00001919049137</v>
      </c>
      <c r="E122" s="34">
        <f t="shared" si="53"/>
        <v>747.6991118430775</v>
      </c>
      <c r="F122" s="39">
        <f t="shared" si="54"/>
        <v>373.84955592153875</v>
      </c>
      <c r="G122" s="46">
        <f t="shared" si="24"/>
        <v>1.06</v>
      </c>
      <c r="H122" s="5">
        <f t="shared" si="55"/>
        <v>80.599999999999994</v>
      </c>
      <c r="I122" s="4"/>
      <c r="J122" s="4">
        <v>0.06</v>
      </c>
      <c r="K122" s="5">
        <f t="shared" si="56"/>
        <v>42.6</v>
      </c>
      <c r="L122" s="4">
        <v>38</v>
      </c>
      <c r="M122" s="7">
        <f t="shared" si="57"/>
        <v>1.1135211267605634</v>
      </c>
      <c r="N122" s="6"/>
    </row>
    <row r="123" spans="1:14" x14ac:dyDescent="0.25">
      <c r="A123" s="4">
        <v>720</v>
      </c>
      <c r="B123" s="5">
        <f t="shared" si="50"/>
        <v>801.2</v>
      </c>
      <c r="C123" s="5">
        <f t="shared" si="51"/>
        <v>229.18311805232929</v>
      </c>
      <c r="D123" s="34">
        <f t="shared" si="52"/>
        <v>241.18311805232929</v>
      </c>
      <c r="E123" s="34">
        <f t="shared" si="53"/>
        <v>757.6991118430775</v>
      </c>
      <c r="F123" s="39">
        <f t="shared" si="54"/>
        <v>378.84955592153875</v>
      </c>
      <c r="G123" s="46">
        <f t="shared" si="24"/>
        <v>1.06</v>
      </c>
      <c r="H123" s="5">
        <f t="shared" si="55"/>
        <v>81.199999999999989</v>
      </c>
      <c r="I123" s="4"/>
      <c r="J123" s="4">
        <v>0.06</v>
      </c>
      <c r="K123" s="5">
        <f t="shared" si="56"/>
        <v>43.199999999999996</v>
      </c>
      <c r="L123" s="4">
        <v>38</v>
      </c>
      <c r="M123" s="7">
        <f t="shared" si="57"/>
        <v>1.1127777777777779</v>
      </c>
      <c r="N123" s="6"/>
    </row>
    <row r="124" spans="1:14" x14ac:dyDescent="0.25">
      <c r="A124" s="4">
        <v>730</v>
      </c>
      <c r="B124" s="5">
        <f t="shared" si="50"/>
        <v>811.8</v>
      </c>
      <c r="C124" s="5">
        <f t="shared" si="51"/>
        <v>232.36621691416721</v>
      </c>
      <c r="D124" s="34">
        <f t="shared" si="52"/>
        <v>244.36621691416721</v>
      </c>
      <c r="E124" s="34">
        <f t="shared" si="53"/>
        <v>767.6991118430775</v>
      </c>
      <c r="F124" s="39">
        <f t="shared" si="54"/>
        <v>383.84955592153875</v>
      </c>
      <c r="G124" s="46">
        <f t="shared" si="24"/>
        <v>1.06</v>
      </c>
      <c r="H124" s="5">
        <f t="shared" si="55"/>
        <v>81.8</v>
      </c>
      <c r="I124" s="4"/>
      <c r="J124" s="4">
        <v>0.06</v>
      </c>
      <c r="K124" s="5">
        <f t="shared" si="56"/>
        <v>43.8</v>
      </c>
      <c r="L124" s="4">
        <v>38</v>
      </c>
      <c r="M124" s="7">
        <f t="shared" si="57"/>
        <v>1.1120547945205479</v>
      </c>
      <c r="N124" s="6"/>
    </row>
    <row r="125" spans="1:14" x14ac:dyDescent="0.25">
      <c r="A125" s="4">
        <v>740</v>
      </c>
      <c r="B125" s="5">
        <f t="shared" si="50"/>
        <v>822.4</v>
      </c>
      <c r="C125" s="5">
        <f t="shared" si="51"/>
        <v>235.5493157760051</v>
      </c>
      <c r="D125" s="34">
        <f t="shared" si="52"/>
        <v>247.5493157760051</v>
      </c>
      <c r="E125" s="34">
        <f t="shared" si="53"/>
        <v>777.6991118430775</v>
      </c>
      <c r="F125" s="39">
        <f t="shared" si="54"/>
        <v>388.84955592153875</v>
      </c>
      <c r="G125" s="46">
        <f t="shared" si="24"/>
        <v>1.06</v>
      </c>
      <c r="H125" s="5">
        <f t="shared" si="55"/>
        <v>82.4</v>
      </c>
      <c r="I125" s="4"/>
      <c r="J125" s="4">
        <v>0.06</v>
      </c>
      <c r="K125" s="5">
        <f t="shared" si="56"/>
        <v>44.4</v>
      </c>
      <c r="L125" s="4">
        <v>38</v>
      </c>
      <c r="M125" s="7">
        <f t="shared" si="57"/>
        <v>1.1113513513513513</v>
      </c>
      <c r="N125" s="6"/>
    </row>
    <row r="126" spans="1:14" x14ac:dyDescent="0.25">
      <c r="A126" s="4">
        <v>750</v>
      </c>
      <c r="B126" s="5">
        <f t="shared" si="50"/>
        <v>833</v>
      </c>
      <c r="C126" s="5">
        <f t="shared" si="51"/>
        <v>238.73241463784302</v>
      </c>
      <c r="D126" s="34">
        <f t="shared" si="52"/>
        <v>250.73241463784302</v>
      </c>
      <c r="E126" s="34">
        <f t="shared" si="53"/>
        <v>787.6991118430775</v>
      </c>
      <c r="F126" s="39">
        <f t="shared" si="54"/>
        <v>393.84955592153875</v>
      </c>
      <c r="G126" s="46">
        <f t="shared" si="24"/>
        <v>1.06</v>
      </c>
      <c r="H126" s="5">
        <f t="shared" si="55"/>
        <v>83</v>
      </c>
      <c r="I126" s="4"/>
      <c r="J126" s="4">
        <v>0.06</v>
      </c>
      <c r="K126" s="5">
        <f t="shared" si="56"/>
        <v>45</v>
      </c>
      <c r="L126" s="4">
        <v>38</v>
      </c>
      <c r="M126" s="7">
        <f t="shared" si="57"/>
        <v>1.1106666666666667</v>
      </c>
      <c r="N126" s="6"/>
    </row>
    <row r="127" spans="1:14" x14ac:dyDescent="0.25">
      <c r="A127" s="4">
        <v>760</v>
      </c>
      <c r="B127" s="5">
        <f t="shared" si="50"/>
        <v>843.6</v>
      </c>
      <c r="C127" s="5">
        <f t="shared" si="51"/>
        <v>241.91551349968091</v>
      </c>
      <c r="D127" s="34">
        <f t="shared" si="52"/>
        <v>253.91551349968091</v>
      </c>
      <c r="E127" s="34">
        <f t="shared" si="53"/>
        <v>797.6991118430775</v>
      </c>
      <c r="F127" s="39">
        <f t="shared" si="54"/>
        <v>398.84955592153875</v>
      </c>
      <c r="G127" s="46">
        <f t="shared" si="24"/>
        <v>1.06</v>
      </c>
      <c r="H127" s="5">
        <f t="shared" si="55"/>
        <v>83.6</v>
      </c>
      <c r="I127" s="4"/>
      <c r="J127" s="4">
        <v>0.06</v>
      </c>
      <c r="K127" s="5">
        <f t="shared" si="56"/>
        <v>45.6</v>
      </c>
      <c r="L127" s="4">
        <v>38</v>
      </c>
      <c r="M127" s="7">
        <f t="shared" si="57"/>
        <v>1.1100000000000001</v>
      </c>
      <c r="N127" s="6"/>
    </row>
    <row r="128" spans="1:14" x14ac:dyDescent="0.25">
      <c r="A128" s="4">
        <v>770</v>
      </c>
      <c r="B128" s="5">
        <f t="shared" si="50"/>
        <v>854.2</v>
      </c>
      <c r="C128" s="5">
        <f t="shared" si="51"/>
        <v>245.09861236151883</v>
      </c>
      <c r="D128" s="34">
        <f t="shared" si="52"/>
        <v>257.0986123615188</v>
      </c>
      <c r="E128" s="34">
        <f t="shared" si="53"/>
        <v>807.69911184307739</v>
      </c>
      <c r="F128" s="39">
        <f t="shared" si="54"/>
        <v>403.84955592153869</v>
      </c>
      <c r="G128" s="46">
        <f t="shared" si="24"/>
        <v>1.06</v>
      </c>
      <c r="H128" s="5">
        <f t="shared" si="55"/>
        <v>84.199999999999989</v>
      </c>
      <c r="I128" s="4"/>
      <c r="J128" s="4">
        <v>0.06</v>
      </c>
      <c r="K128" s="5">
        <f t="shared" si="56"/>
        <v>46.199999999999996</v>
      </c>
      <c r="L128" s="4">
        <v>38</v>
      </c>
      <c r="M128" s="7">
        <f t="shared" si="57"/>
        <v>1.1093506493506493</v>
      </c>
      <c r="N128" s="6"/>
    </row>
    <row r="129" spans="1:14" x14ac:dyDescent="0.25">
      <c r="A129" s="4">
        <v>780</v>
      </c>
      <c r="B129" s="5">
        <f t="shared" si="50"/>
        <v>864.8</v>
      </c>
      <c r="C129" s="5">
        <f t="shared" si="51"/>
        <v>248.28171122335672</v>
      </c>
      <c r="D129" s="34">
        <f t="shared" si="52"/>
        <v>260.28171122335675</v>
      </c>
      <c r="E129" s="34">
        <f t="shared" si="53"/>
        <v>817.69911184307762</v>
      </c>
      <c r="F129" s="39">
        <f t="shared" si="54"/>
        <v>408.84955592153881</v>
      </c>
      <c r="G129" s="46">
        <f t="shared" si="24"/>
        <v>1.06</v>
      </c>
      <c r="H129" s="5">
        <f t="shared" si="55"/>
        <v>84.8</v>
      </c>
      <c r="I129" s="4"/>
      <c r="J129" s="4">
        <v>0.06</v>
      </c>
      <c r="K129" s="5">
        <f t="shared" si="56"/>
        <v>46.8</v>
      </c>
      <c r="L129" s="4">
        <v>38</v>
      </c>
      <c r="M129" s="7">
        <f t="shared" si="57"/>
        <v>1.1087179487179486</v>
      </c>
      <c r="N129" s="6"/>
    </row>
    <row r="130" spans="1:14" x14ac:dyDescent="0.25">
      <c r="A130" s="4">
        <v>790</v>
      </c>
      <c r="B130" s="5">
        <f t="shared" si="50"/>
        <v>875.4</v>
      </c>
      <c r="C130" s="5">
        <f t="shared" si="51"/>
        <v>251.46481008519464</v>
      </c>
      <c r="D130" s="34">
        <f t="shared" si="52"/>
        <v>263.46481008519464</v>
      </c>
      <c r="E130" s="34">
        <f t="shared" si="53"/>
        <v>827.6991118430775</v>
      </c>
      <c r="F130" s="39">
        <f t="shared" si="54"/>
        <v>413.84955592153875</v>
      </c>
      <c r="G130" s="46">
        <f t="shared" si="24"/>
        <v>1.06</v>
      </c>
      <c r="H130" s="5">
        <f t="shared" si="55"/>
        <v>85.4</v>
      </c>
      <c r="I130" s="4"/>
      <c r="J130" s="4">
        <v>0.06</v>
      </c>
      <c r="K130" s="5">
        <f t="shared" si="56"/>
        <v>47.4</v>
      </c>
      <c r="L130" s="4">
        <v>38</v>
      </c>
      <c r="M130" s="7">
        <f t="shared" si="57"/>
        <v>1.1081012658227847</v>
      </c>
      <c r="N130" s="6"/>
    </row>
    <row r="131" spans="1:14" x14ac:dyDescent="0.25">
      <c r="A131" s="4">
        <v>800</v>
      </c>
      <c r="B131" s="5">
        <f t="shared" si="50"/>
        <v>886</v>
      </c>
      <c r="C131" s="5">
        <f t="shared" si="51"/>
        <v>254.64790894703253</v>
      </c>
      <c r="D131" s="34">
        <f t="shared" si="52"/>
        <v>266.64790894703253</v>
      </c>
      <c r="E131" s="34">
        <f t="shared" si="53"/>
        <v>837.6991118430775</v>
      </c>
      <c r="F131" s="39">
        <f t="shared" si="54"/>
        <v>418.84955592153875</v>
      </c>
      <c r="G131" s="46">
        <f t="shared" si="24"/>
        <v>1.06</v>
      </c>
      <c r="H131" s="5">
        <f t="shared" si="55"/>
        <v>86</v>
      </c>
      <c r="I131" s="4"/>
      <c r="J131" s="4">
        <v>0.06</v>
      </c>
      <c r="K131" s="5">
        <f t="shared" si="56"/>
        <v>48</v>
      </c>
      <c r="L131" s="4">
        <v>38</v>
      </c>
      <c r="M131" s="7">
        <f t="shared" si="57"/>
        <v>1.1074999999999999</v>
      </c>
      <c r="N131" s="6"/>
    </row>
    <row r="132" spans="1:14" x14ac:dyDescent="0.25">
      <c r="A132" s="4">
        <v>810</v>
      </c>
      <c r="B132" s="5">
        <f t="shared" si="50"/>
        <v>896.6</v>
      </c>
      <c r="C132" s="5">
        <f t="shared" si="51"/>
        <v>257.83100780887048</v>
      </c>
      <c r="D132" s="34">
        <f t="shared" si="52"/>
        <v>269.83100780887048</v>
      </c>
      <c r="E132" s="34">
        <f t="shared" si="53"/>
        <v>847.69911184307762</v>
      </c>
      <c r="F132" s="39">
        <f t="shared" si="54"/>
        <v>423.84955592153881</v>
      </c>
      <c r="G132" s="46">
        <f t="shared" si="24"/>
        <v>1.06</v>
      </c>
      <c r="H132" s="5">
        <f t="shared" si="55"/>
        <v>86.6</v>
      </c>
      <c r="I132" s="4"/>
      <c r="J132" s="4">
        <v>0.06</v>
      </c>
      <c r="K132" s="5">
        <f t="shared" si="56"/>
        <v>48.6</v>
      </c>
      <c r="L132" s="4">
        <v>38</v>
      </c>
      <c r="M132" s="7">
        <f t="shared" si="57"/>
        <v>1.1069135802469137</v>
      </c>
      <c r="N132" s="6"/>
    </row>
    <row r="133" spans="1:14" x14ac:dyDescent="0.25">
      <c r="A133" s="4">
        <v>820</v>
      </c>
      <c r="B133" s="5">
        <f t="shared" si="50"/>
        <v>907.2</v>
      </c>
      <c r="C133" s="5">
        <f t="shared" si="51"/>
        <v>261.01410667070837</v>
      </c>
      <c r="D133" s="34">
        <f t="shared" si="52"/>
        <v>273.01410667070837</v>
      </c>
      <c r="E133" s="34">
        <f t="shared" si="53"/>
        <v>857.6991118430775</v>
      </c>
      <c r="F133" s="39">
        <f t="shared" si="54"/>
        <v>428.84955592153875</v>
      </c>
      <c r="G133" s="46">
        <f t="shared" si="24"/>
        <v>1.06</v>
      </c>
      <c r="H133" s="5">
        <f t="shared" si="55"/>
        <v>87.199999999999989</v>
      </c>
      <c r="I133" s="4"/>
      <c r="J133" s="4">
        <v>0.06</v>
      </c>
      <c r="K133" s="5">
        <f t="shared" si="56"/>
        <v>49.199999999999996</v>
      </c>
      <c r="L133" s="4">
        <v>38</v>
      </c>
      <c r="M133" s="7">
        <f t="shared" si="57"/>
        <v>1.1063414634146342</v>
      </c>
      <c r="N133" s="6"/>
    </row>
    <row r="134" spans="1:14" x14ac:dyDescent="0.25">
      <c r="A134" s="4">
        <v>830</v>
      </c>
      <c r="B134" s="5">
        <f t="shared" si="50"/>
        <v>917.8</v>
      </c>
      <c r="C134" s="5">
        <f t="shared" si="51"/>
        <v>264.19720553254626</v>
      </c>
      <c r="D134" s="34">
        <f t="shared" si="52"/>
        <v>276.19720553254626</v>
      </c>
      <c r="E134" s="34">
        <f t="shared" si="53"/>
        <v>867.6991118430775</v>
      </c>
      <c r="F134" s="39">
        <f t="shared" si="54"/>
        <v>433.84955592153875</v>
      </c>
      <c r="G134" s="46">
        <f t="shared" ref="G134:G197" si="58">ROUNDUP(B134/E134,2)</f>
        <v>1.06</v>
      </c>
      <c r="H134" s="5">
        <f t="shared" si="55"/>
        <v>87.8</v>
      </c>
      <c r="I134" s="4"/>
      <c r="J134" s="4">
        <v>0.06</v>
      </c>
      <c r="K134" s="5">
        <f t="shared" si="56"/>
        <v>49.8</v>
      </c>
      <c r="L134" s="4">
        <v>38</v>
      </c>
      <c r="M134" s="7">
        <f t="shared" si="57"/>
        <v>1.1057831325301204</v>
      </c>
      <c r="N134" s="6"/>
    </row>
    <row r="135" spans="1:14" x14ac:dyDescent="0.25">
      <c r="A135" s="4">
        <v>840</v>
      </c>
      <c r="B135" s="5">
        <f t="shared" si="50"/>
        <v>928.4</v>
      </c>
      <c r="C135" s="5">
        <f t="shared" si="51"/>
        <v>267.38030439438415</v>
      </c>
      <c r="D135" s="34">
        <f t="shared" si="52"/>
        <v>279.38030439438415</v>
      </c>
      <c r="E135" s="34">
        <f t="shared" si="53"/>
        <v>877.6991118430775</v>
      </c>
      <c r="F135" s="39">
        <f t="shared" si="54"/>
        <v>438.84955592153875</v>
      </c>
      <c r="G135" s="46">
        <f t="shared" si="58"/>
        <v>1.06</v>
      </c>
      <c r="H135" s="5">
        <f t="shared" si="55"/>
        <v>88.4</v>
      </c>
      <c r="I135" s="4"/>
      <c r="J135" s="4">
        <v>0.06</v>
      </c>
      <c r="K135" s="5">
        <f t="shared" si="56"/>
        <v>50.4</v>
      </c>
      <c r="L135" s="4">
        <v>38</v>
      </c>
      <c r="M135" s="7">
        <f t="shared" si="57"/>
        <v>1.1052380952380951</v>
      </c>
      <c r="N135" s="6"/>
    </row>
    <row r="136" spans="1:14" x14ac:dyDescent="0.25">
      <c r="A136" s="4">
        <v>850</v>
      </c>
      <c r="B136" s="5">
        <f t="shared" si="50"/>
        <v>939</v>
      </c>
      <c r="C136" s="5">
        <f t="shared" si="51"/>
        <v>270.5634032562221</v>
      </c>
      <c r="D136" s="34">
        <f t="shared" si="52"/>
        <v>282.5634032562221</v>
      </c>
      <c r="E136" s="34">
        <f t="shared" si="53"/>
        <v>887.69911184307762</v>
      </c>
      <c r="F136" s="39">
        <f t="shared" si="54"/>
        <v>443.84955592153881</v>
      </c>
      <c r="G136" s="46">
        <f t="shared" si="58"/>
        <v>1.06</v>
      </c>
      <c r="H136" s="5">
        <f t="shared" si="55"/>
        <v>89</v>
      </c>
      <c r="I136" s="4"/>
      <c r="J136" s="4">
        <v>0.06</v>
      </c>
      <c r="K136" s="5">
        <f t="shared" si="56"/>
        <v>51</v>
      </c>
      <c r="L136" s="4">
        <v>38</v>
      </c>
      <c r="M136" s="7">
        <f t="shared" si="57"/>
        <v>1.1047058823529412</v>
      </c>
      <c r="N136" s="6"/>
    </row>
    <row r="137" spans="1:14" x14ac:dyDescent="0.25">
      <c r="A137" s="4">
        <v>860</v>
      </c>
      <c r="B137" s="5">
        <f t="shared" si="50"/>
        <v>949.6</v>
      </c>
      <c r="C137" s="5">
        <f t="shared" si="51"/>
        <v>273.74650211805999</v>
      </c>
      <c r="D137" s="34">
        <f t="shared" si="52"/>
        <v>285.74650211805999</v>
      </c>
      <c r="E137" s="34">
        <f t="shared" si="53"/>
        <v>897.6991118430775</v>
      </c>
      <c r="F137" s="39">
        <f t="shared" si="54"/>
        <v>448.84955592153875</v>
      </c>
      <c r="G137" s="46">
        <f t="shared" si="58"/>
        <v>1.06</v>
      </c>
      <c r="H137" s="5">
        <f t="shared" si="55"/>
        <v>89.6</v>
      </c>
      <c r="I137" s="4"/>
      <c r="J137" s="4">
        <v>0.06</v>
      </c>
      <c r="K137" s="5">
        <f t="shared" si="56"/>
        <v>51.6</v>
      </c>
      <c r="L137" s="4">
        <v>38</v>
      </c>
      <c r="M137" s="7">
        <f t="shared" si="57"/>
        <v>1.104186046511628</v>
      </c>
      <c r="N137" s="6"/>
    </row>
    <row r="138" spans="1:14" x14ac:dyDescent="0.25">
      <c r="A138" s="4">
        <v>870</v>
      </c>
      <c r="B138" s="5">
        <f t="shared" si="50"/>
        <v>960.2</v>
      </c>
      <c r="C138" s="5">
        <f t="shared" si="51"/>
        <v>276.92960097989788</v>
      </c>
      <c r="D138" s="34">
        <f t="shared" si="52"/>
        <v>288.92960097989788</v>
      </c>
      <c r="E138" s="34">
        <f t="shared" si="53"/>
        <v>907.6991118430775</v>
      </c>
      <c r="F138" s="39">
        <f t="shared" si="54"/>
        <v>453.84955592153875</v>
      </c>
      <c r="G138" s="46">
        <f t="shared" si="58"/>
        <v>1.06</v>
      </c>
      <c r="H138" s="5">
        <f t="shared" si="55"/>
        <v>90.199999999999989</v>
      </c>
      <c r="I138" s="4"/>
      <c r="J138" s="4">
        <v>0.06</v>
      </c>
      <c r="K138" s="5">
        <f t="shared" si="56"/>
        <v>52.199999999999996</v>
      </c>
      <c r="L138" s="4">
        <v>38</v>
      </c>
      <c r="M138" s="7">
        <f t="shared" si="57"/>
        <v>1.1036781609195403</v>
      </c>
      <c r="N138" s="6"/>
    </row>
    <row r="139" spans="1:14" x14ac:dyDescent="0.25">
      <c r="A139" s="4">
        <v>880</v>
      </c>
      <c r="B139" s="5">
        <f t="shared" si="50"/>
        <v>970.8</v>
      </c>
      <c r="C139" s="5">
        <f t="shared" si="51"/>
        <v>280.11269984173578</v>
      </c>
      <c r="D139" s="34">
        <f t="shared" si="52"/>
        <v>292.11269984173578</v>
      </c>
      <c r="E139" s="34">
        <f t="shared" si="53"/>
        <v>917.69911184307739</v>
      </c>
      <c r="F139" s="39">
        <f t="shared" si="54"/>
        <v>458.84955592153869</v>
      </c>
      <c r="G139" s="46">
        <f t="shared" si="58"/>
        <v>1.06</v>
      </c>
      <c r="H139" s="5">
        <f t="shared" si="55"/>
        <v>90.8</v>
      </c>
      <c r="I139" s="4"/>
      <c r="J139" s="4">
        <v>0.06</v>
      </c>
      <c r="K139" s="5">
        <f t="shared" si="56"/>
        <v>52.8</v>
      </c>
      <c r="L139" s="4">
        <v>38</v>
      </c>
      <c r="M139" s="7">
        <f t="shared" si="57"/>
        <v>1.103181818181818</v>
      </c>
      <c r="N139" s="6"/>
    </row>
    <row r="140" spans="1:14" x14ac:dyDescent="0.25">
      <c r="A140" s="4">
        <v>890</v>
      </c>
      <c r="B140" s="5">
        <f t="shared" si="50"/>
        <v>981.4</v>
      </c>
      <c r="C140" s="5">
        <f t="shared" si="51"/>
        <v>283.29579870357372</v>
      </c>
      <c r="D140" s="34">
        <f t="shared" si="52"/>
        <v>295.29579870357372</v>
      </c>
      <c r="E140" s="34">
        <f t="shared" si="53"/>
        <v>927.69911184307762</v>
      </c>
      <c r="F140" s="39">
        <f t="shared" si="54"/>
        <v>463.84955592153881</v>
      </c>
      <c r="G140" s="46">
        <f t="shared" si="58"/>
        <v>1.06</v>
      </c>
      <c r="H140" s="5">
        <f t="shared" si="55"/>
        <v>91.4</v>
      </c>
      <c r="I140" s="4"/>
      <c r="J140" s="4">
        <v>0.06</v>
      </c>
      <c r="K140" s="5">
        <f t="shared" si="56"/>
        <v>53.4</v>
      </c>
      <c r="L140" s="4">
        <v>38</v>
      </c>
      <c r="M140" s="7">
        <f t="shared" si="57"/>
        <v>1.1026966292134832</v>
      </c>
      <c r="N140" s="6"/>
    </row>
    <row r="141" spans="1:14" x14ac:dyDescent="0.25">
      <c r="A141" s="4">
        <v>900</v>
      </c>
      <c r="B141" s="5">
        <f t="shared" si="50"/>
        <v>992</v>
      </c>
      <c r="C141" s="5">
        <f t="shared" si="51"/>
        <v>286.47889756541161</v>
      </c>
      <c r="D141" s="34">
        <f t="shared" si="52"/>
        <v>298.47889756541161</v>
      </c>
      <c r="E141" s="34">
        <f t="shared" si="53"/>
        <v>937.6991118430775</v>
      </c>
      <c r="F141" s="39">
        <f t="shared" si="54"/>
        <v>468.84955592153875</v>
      </c>
      <c r="G141" s="46">
        <f t="shared" si="58"/>
        <v>1.06</v>
      </c>
      <c r="H141" s="5">
        <f t="shared" si="55"/>
        <v>92</v>
      </c>
      <c r="I141" s="4"/>
      <c r="J141" s="4">
        <v>0.06</v>
      </c>
      <c r="K141" s="5">
        <f t="shared" si="56"/>
        <v>54</v>
      </c>
      <c r="L141" s="4">
        <v>38</v>
      </c>
      <c r="M141" s="7">
        <f t="shared" si="57"/>
        <v>1.1022222222222222</v>
      </c>
      <c r="N141" s="6"/>
    </row>
    <row r="142" spans="1:14" x14ac:dyDescent="0.25">
      <c r="A142" s="4">
        <v>910</v>
      </c>
      <c r="B142" s="5">
        <f t="shared" si="50"/>
        <v>1002.6</v>
      </c>
      <c r="C142" s="5">
        <f t="shared" si="51"/>
        <v>289.66199642724951</v>
      </c>
      <c r="D142" s="34">
        <f t="shared" si="52"/>
        <v>301.66199642724951</v>
      </c>
      <c r="E142" s="34">
        <f t="shared" si="53"/>
        <v>947.6991118430775</v>
      </c>
      <c r="F142" s="39">
        <f t="shared" si="54"/>
        <v>473.84955592153875</v>
      </c>
      <c r="G142" s="46">
        <f t="shared" si="58"/>
        <v>1.06</v>
      </c>
      <c r="H142" s="5">
        <f t="shared" si="55"/>
        <v>92.6</v>
      </c>
      <c r="I142" s="4"/>
      <c r="J142" s="4">
        <v>0.06</v>
      </c>
      <c r="K142" s="5">
        <f t="shared" si="56"/>
        <v>54.6</v>
      </c>
      <c r="L142" s="4">
        <v>38</v>
      </c>
      <c r="M142" s="7">
        <f t="shared" si="57"/>
        <v>1.1017582417582419</v>
      </c>
      <c r="N142" s="6"/>
    </row>
    <row r="143" spans="1:14" x14ac:dyDescent="0.25">
      <c r="A143" s="4">
        <v>920</v>
      </c>
      <c r="B143" s="5">
        <f t="shared" si="50"/>
        <v>1013.2</v>
      </c>
      <c r="C143" s="5">
        <f t="shared" si="51"/>
        <v>292.84509528908745</v>
      </c>
      <c r="D143" s="34">
        <f t="shared" si="52"/>
        <v>304.84509528908745</v>
      </c>
      <c r="E143" s="34">
        <f t="shared" si="53"/>
        <v>957.69911184307762</v>
      </c>
      <c r="F143" s="39">
        <f t="shared" si="54"/>
        <v>478.84955592153881</v>
      </c>
      <c r="G143" s="46">
        <f t="shared" si="58"/>
        <v>1.06</v>
      </c>
      <c r="H143" s="5">
        <f t="shared" si="55"/>
        <v>93.199999999999989</v>
      </c>
      <c r="I143" s="4"/>
      <c r="J143" s="4">
        <v>0.06</v>
      </c>
      <c r="K143" s="5">
        <f t="shared" si="56"/>
        <v>55.199999999999996</v>
      </c>
      <c r="L143" s="4">
        <v>38</v>
      </c>
      <c r="M143" s="7">
        <f t="shared" si="57"/>
        <v>1.1013043478260871</v>
      </c>
      <c r="N143" s="6"/>
    </row>
    <row r="144" spans="1:14" x14ac:dyDescent="0.25">
      <c r="A144" s="4">
        <v>930</v>
      </c>
      <c r="B144" s="5">
        <f t="shared" si="50"/>
        <v>1023.8</v>
      </c>
      <c r="C144" s="5">
        <f t="shared" si="51"/>
        <v>296.02819415092534</v>
      </c>
      <c r="D144" s="34">
        <f t="shared" si="52"/>
        <v>308.02819415092534</v>
      </c>
      <c r="E144" s="34">
        <f t="shared" si="53"/>
        <v>967.6991118430775</v>
      </c>
      <c r="F144" s="39">
        <f t="shared" si="54"/>
        <v>483.84955592153875</v>
      </c>
      <c r="G144" s="46">
        <f t="shared" si="58"/>
        <v>1.06</v>
      </c>
      <c r="H144" s="5">
        <f t="shared" si="55"/>
        <v>93.8</v>
      </c>
      <c r="I144" s="4"/>
      <c r="J144" s="4">
        <v>0.06</v>
      </c>
      <c r="K144" s="5">
        <f t="shared" si="56"/>
        <v>55.8</v>
      </c>
      <c r="L144" s="4">
        <v>38</v>
      </c>
      <c r="M144" s="7">
        <f t="shared" si="57"/>
        <v>1.1008602150537634</v>
      </c>
      <c r="N144" s="6"/>
    </row>
    <row r="145" spans="1:14" x14ac:dyDescent="0.25">
      <c r="A145" s="4">
        <v>940</v>
      </c>
      <c r="B145" s="5">
        <f t="shared" si="50"/>
        <v>1034.4000000000001</v>
      </c>
      <c r="C145" s="5">
        <f t="shared" si="51"/>
        <v>299.21129301276324</v>
      </c>
      <c r="D145" s="34">
        <f t="shared" si="52"/>
        <v>311.21129301276324</v>
      </c>
      <c r="E145" s="34">
        <f t="shared" si="53"/>
        <v>977.6991118430775</v>
      </c>
      <c r="F145" s="39">
        <f t="shared" si="54"/>
        <v>488.84955592153875</v>
      </c>
      <c r="G145" s="46">
        <f t="shared" si="58"/>
        <v>1.06</v>
      </c>
      <c r="H145" s="5">
        <f t="shared" si="55"/>
        <v>94.4</v>
      </c>
      <c r="I145" s="4"/>
      <c r="J145" s="4">
        <v>0.06</v>
      </c>
      <c r="K145" s="5">
        <f t="shared" si="56"/>
        <v>56.4</v>
      </c>
      <c r="L145" s="4">
        <v>38</v>
      </c>
      <c r="M145" s="7">
        <f t="shared" si="57"/>
        <v>1.1004255319148937</v>
      </c>
      <c r="N145" s="6"/>
    </row>
    <row r="146" spans="1:14" x14ac:dyDescent="0.25">
      <c r="A146" s="4">
        <v>950</v>
      </c>
      <c r="B146" s="5">
        <f t="shared" si="50"/>
        <v>1045</v>
      </c>
      <c r="C146" s="5">
        <f t="shared" si="51"/>
        <v>302.39439187460113</v>
      </c>
      <c r="D146" s="34">
        <f t="shared" si="52"/>
        <v>314.39439187460113</v>
      </c>
      <c r="E146" s="34">
        <f t="shared" si="53"/>
        <v>987.69911184307739</v>
      </c>
      <c r="F146" s="39">
        <f t="shared" si="54"/>
        <v>493.84955592153869</v>
      </c>
      <c r="G146" s="46">
        <f t="shared" si="58"/>
        <v>1.06</v>
      </c>
      <c r="H146" s="5">
        <f t="shared" si="55"/>
        <v>95</v>
      </c>
      <c r="I146" s="4"/>
      <c r="J146" s="4">
        <v>0.06</v>
      </c>
      <c r="K146" s="5">
        <f t="shared" si="56"/>
        <v>57</v>
      </c>
      <c r="L146" s="4">
        <v>38</v>
      </c>
      <c r="M146" s="7">
        <f t="shared" si="57"/>
        <v>1.1000000000000001</v>
      </c>
      <c r="N146" s="6"/>
    </row>
    <row r="147" spans="1:14" x14ac:dyDescent="0.25">
      <c r="A147" s="4">
        <v>960</v>
      </c>
      <c r="B147" s="5">
        <f t="shared" si="50"/>
        <v>1055.5999999999999</v>
      </c>
      <c r="C147" s="5">
        <f t="shared" si="51"/>
        <v>305.57749073643907</v>
      </c>
      <c r="D147" s="34">
        <f t="shared" si="52"/>
        <v>317.57749073643907</v>
      </c>
      <c r="E147" s="34">
        <f t="shared" si="53"/>
        <v>997.69911184307762</v>
      </c>
      <c r="F147" s="39">
        <f t="shared" si="54"/>
        <v>498.84955592153881</v>
      </c>
      <c r="G147" s="46">
        <f t="shared" si="58"/>
        <v>1.06</v>
      </c>
      <c r="H147" s="5">
        <f t="shared" si="55"/>
        <v>95.6</v>
      </c>
      <c r="I147" s="4"/>
      <c r="J147" s="4">
        <v>0.06</v>
      </c>
      <c r="K147" s="5">
        <f t="shared" si="56"/>
        <v>57.599999999999994</v>
      </c>
      <c r="L147" s="4">
        <v>38</v>
      </c>
      <c r="M147" s="7">
        <f t="shared" si="57"/>
        <v>1.0995833333333331</v>
      </c>
      <c r="N147" s="6"/>
    </row>
    <row r="148" spans="1:14" x14ac:dyDescent="0.25">
      <c r="A148" s="4">
        <v>970</v>
      </c>
      <c r="B148" s="5">
        <f t="shared" si="50"/>
        <v>1066.2</v>
      </c>
      <c r="C148" s="5">
        <f t="shared" si="51"/>
        <v>308.76058959827697</v>
      </c>
      <c r="D148" s="34">
        <f t="shared" si="52"/>
        <v>320.76058959827697</v>
      </c>
      <c r="E148" s="34">
        <f t="shared" si="53"/>
        <v>1007.6991118430775</v>
      </c>
      <c r="F148" s="39">
        <f t="shared" si="54"/>
        <v>503.84955592153875</v>
      </c>
      <c r="G148" s="46">
        <f t="shared" si="58"/>
        <v>1.06</v>
      </c>
      <c r="H148" s="5">
        <f t="shared" si="55"/>
        <v>96.199999999999989</v>
      </c>
      <c r="I148" s="4"/>
      <c r="J148" s="4">
        <v>0.06</v>
      </c>
      <c r="K148" s="5">
        <f t="shared" si="56"/>
        <v>58.199999999999996</v>
      </c>
      <c r="L148" s="4">
        <v>38</v>
      </c>
      <c r="M148" s="7">
        <f t="shared" si="57"/>
        <v>1.0991752577319589</v>
      </c>
      <c r="N148" s="6"/>
    </row>
    <row r="149" spans="1:14" x14ac:dyDescent="0.25">
      <c r="A149" s="4">
        <v>980</v>
      </c>
      <c r="B149" s="5">
        <f t="shared" si="50"/>
        <v>1076.8</v>
      </c>
      <c r="C149" s="5">
        <f t="shared" si="51"/>
        <v>311.94368846011486</v>
      </c>
      <c r="D149" s="34">
        <f t="shared" si="52"/>
        <v>323.94368846011486</v>
      </c>
      <c r="E149" s="34">
        <f t="shared" si="53"/>
        <v>1017.6991118430775</v>
      </c>
      <c r="F149" s="39">
        <f t="shared" si="54"/>
        <v>508.84955592153875</v>
      </c>
      <c r="G149" s="46">
        <f t="shared" si="58"/>
        <v>1.06</v>
      </c>
      <c r="H149" s="5">
        <f t="shared" si="55"/>
        <v>96.8</v>
      </c>
      <c r="I149" s="4"/>
      <c r="J149" s="4">
        <v>0.06</v>
      </c>
      <c r="K149" s="5">
        <f t="shared" si="56"/>
        <v>58.8</v>
      </c>
      <c r="L149" s="4">
        <v>38</v>
      </c>
      <c r="M149" s="7">
        <f t="shared" si="57"/>
        <v>1.0987755102040815</v>
      </c>
      <c r="N149" s="6"/>
    </row>
    <row r="150" spans="1:14" x14ac:dyDescent="0.25">
      <c r="A150" s="4">
        <v>990</v>
      </c>
      <c r="B150" s="5">
        <f t="shared" si="50"/>
        <v>1087.4000000000001</v>
      </c>
      <c r="C150" s="5">
        <f t="shared" si="51"/>
        <v>315.1267873219528</v>
      </c>
      <c r="D150" s="34">
        <f t="shared" si="52"/>
        <v>327.1267873219528</v>
      </c>
      <c r="E150" s="34">
        <f t="shared" si="53"/>
        <v>1027.6991118430776</v>
      </c>
      <c r="F150" s="39">
        <f t="shared" si="54"/>
        <v>513.84955592153881</v>
      </c>
      <c r="G150" s="46">
        <f t="shared" si="58"/>
        <v>1.06</v>
      </c>
      <c r="H150" s="5">
        <f t="shared" si="55"/>
        <v>97.4</v>
      </c>
      <c r="I150" s="4"/>
      <c r="J150" s="4">
        <v>0.06</v>
      </c>
      <c r="K150" s="5">
        <f t="shared" si="56"/>
        <v>59.4</v>
      </c>
      <c r="L150" s="4">
        <v>38</v>
      </c>
      <c r="M150" s="7">
        <f t="shared" si="57"/>
        <v>1.0983838383838385</v>
      </c>
      <c r="N150" s="6"/>
    </row>
    <row r="151" spans="1:14" x14ac:dyDescent="0.25">
      <c r="A151" s="4">
        <v>1000</v>
      </c>
      <c r="B151" s="5">
        <f t="shared" si="50"/>
        <v>1098</v>
      </c>
      <c r="C151" s="5">
        <f t="shared" si="51"/>
        <v>318.3098861837907</v>
      </c>
      <c r="D151" s="34">
        <f t="shared" si="52"/>
        <v>330.3098861837907</v>
      </c>
      <c r="E151" s="34">
        <f t="shared" si="53"/>
        <v>1037.6991118430776</v>
      </c>
      <c r="F151" s="39">
        <f t="shared" si="54"/>
        <v>518.84955592153881</v>
      </c>
      <c r="G151" s="46">
        <f t="shared" si="58"/>
        <v>1.06</v>
      </c>
      <c r="H151" s="5">
        <f t="shared" si="55"/>
        <v>98</v>
      </c>
      <c r="I151" s="4"/>
      <c r="J151" s="4">
        <v>0.06</v>
      </c>
      <c r="K151" s="5">
        <f t="shared" si="56"/>
        <v>60</v>
      </c>
      <c r="L151" s="4">
        <v>38</v>
      </c>
      <c r="M151" s="7">
        <f t="shared" si="57"/>
        <v>1.0980000000000001</v>
      </c>
      <c r="N151" s="6"/>
    </row>
    <row r="152" spans="1:14" x14ac:dyDescent="0.25">
      <c r="A152" s="4">
        <v>1010</v>
      </c>
      <c r="B152" s="5">
        <f t="shared" si="50"/>
        <v>1108.5999999999999</v>
      </c>
      <c r="C152" s="5">
        <f t="shared" si="51"/>
        <v>321.49298504562859</v>
      </c>
      <c r="D152" s="34">
        <f t="shared" si="52"/>
        <v>333.49298504562859</v>
      </c>
      <c r="E152" s="34">
        <f t="shared" si="53"/>
        <v>1047.6991118430774</v>
      </c>
      <c r="F152" s="39">
        <f t="shared" si="54"/>
        <v>523.84955592153869</v>
      </c>
      <c r="G152" s="46">
        <f t="shared" si="58"/>
        <v>1.06</v>
      </c>
      <c r="H152" s="5">
        <f t="shared" si="55"/>
        <v>98.6</v>
      </c>
      <c r="I152" s="4"/>
      <c r="J152" s="4">
        <v>0.06</v>
      </c>
      <c r="K152" s="5">
        <f t="shared" si="56"/>
        <v>60.599999999999994</v>
      </c>
      <c r="L152" s="4">
        <v>38</v>
      </c>
      <c r="M152" s="7">
        <f t="shared" si="57"/>
        <v>1.0976237623762375</v>
      </c>
      <c r="N152" s="6"/>
    </row>
    <row r="153" spans="1:14" x14ac:dyDescent="0.25">
      <c r="A153" s="4">
        <v>1020</v>
      </c>
      <c r="B153" s="5">
        <f t="shared" si="50"/>
        <v>1119.2</v>
      </c>
      <c r="C153" s="5">
        <f t="shared" si="51"/>
        <v>324.67608390746648</v>
      </c>
      <c r="D153" s="34">
        <f t="shared" si="52"/>
        <v>336.67608390746648</v>
      </c>
      <c r="E153" s="34">
        <f t="shared" si="53"/>
        <v>1057.6991118430774</v>
      </c>
      <c r="F153" s="39">
        <f t="shared" si="54"/>
        <v>528.84955592153869</v>
      </c>
      <c r="G153" s="46">
        <f t="shared" si="58"/>
        <v>1.06</v>
      </c>
      <c r="H153" s="5">
        <f t="shared" si="55"/>
        <v>99.199999999999989</v>
      </c>
      <c r="I153" s="4"/>
      <c r="J153" s="4">
        <v>0.06</v>
      </c>
      <c r="K153" s="5">
        <f t="shared" si="56"/>
        <v>61.199999999999996</v>
      </c>
      <c r="L153" s="4">
        <v>38</v>
      </c>
      <c r="M153" s="7">
        <f t="shared" si="57"/>
        <v>1.0972549019607845</v>
      </c>
      <c r="N153" s="6"/>
    </row>
    <row r="154" spans="1:14" x14ac:dyDescent="0.25">
      <c r="A154" s="4">
        <v>1030</v>
      </c>
      <c r="B154" s="5">
        <f t="shared" si="50"/>
        <v>1129.8</v>
      </c>
      <c r="C154" s="5">
        <f t="shared" si="51"/>
        <v>327.85918276930443</v>
      </c>
      <c r="D154" s="34">
        <f t="shared" si="52"/>
        <v>339.85918276930443</v>
      </c>
      <c r="E154" s="34">
        <f t="shared" si="53"/>
        <v>1067.6991118430776</v>
      </c>
      <c r="F154" s="39">
        <f t="shared" si="54"/>
        <v>533.84955592153881</v>
      </c>
      <c r="G154" s="46">
        <f t="shared" si="58"/>
        <v>1.06</v>
      </c>
      <c r="H154" s="5">
        <f t="shared" si="55"/>
        <v>99.8</v>
      </c>
      <c r="I154" s="4"/>
      <c r="J154" s="4">
        <v>0.06</v>
      </c>
      <c r="K154" s="5">
        <f t="shared" si="56"/>
        <v>61.8</v>
      </c>
      <c r="L154" s="4">
        <v>38</v>
      </c>
      <c r="M154" s="7">
        <f t="shared" si="57"/>
        <v>1.0968932038834951</v>
      </c>
      <c r="N154" s="6"/>
    </row>
    <row r="155" spans="1:14" x14ac:dyDescent="0.25">
      <c r="A155" s="4">
        <v>1040</v>
      </c>
      <c r="B155" s="5">
        <f t="shared" si="50"/>
        <v>1140.4000000000001</v>
      </c>
      <c r="C155" s="5">
        <f t="shared" si="51"/>
        <v>331.04228163114232</v>
      </c>
      <c r="D155" s="34">
        <f t="shared" si="52"/>
        <v>343.04228163114232</v>
      </c>
      <c r="E155" s="34">
        <f t="shared" si="53"/>
        <v>1077.6991118430776</v>
      </c>
      <c r="F155" s="39">
        <f t="shared" si="54"/>
        <v>538.84955592153881</v>
      </c>
      <c r="G155" s="46">
        <f t="shared" si="58"/>
        <v>1.06</v>
      </c>
      <c r="H155" s="5">
        <f t="shared" si="55"/>
        <v>100.4</v>
      </c>
      <c r="I155" s="4"/>
      <c r="J155" s="4">
        <v>0.06</v>
      </c>
      <c r="K155" s="5">
        <f t="shared" si="56"/>
        <v>62.4</v>
      </c>
      <c r="L155" s="4">
        <v>38</v>
      </c>
      <c r="M155" s="7">
        <f t="shared" si="57"/>
        <v>1.0965384615384617</v>
      </c>
      <c r="N155" s="6"/>
    </row>
    <row r="156" spans="1:14" x14ac:dyDescent="0.25">
      <c r="A156" s="4">
        <v>1050</v>
      </c>
      <c r="B156" s="5">
        <f t="shared" si="50"/>
        <v>1151</v>
      </c>
      <c r="C156" s="5">
        <f t="shared" si="51"/>
        <v>334.22538049298021</v>
      </c>
      <c r="D156" s="34">
        <f t="shared" si="52"/>
        <v>346.22538049298021</v>
      </c>
      <c r="E156" s="34">
        <f t="shared" si="53"/>
        <v>1087.6991118430774</v>
      </c>
      <c r="F156" s="39">
        <f t="shared" si="54"/>
        <v>543.84955592153869</v>
      </c>
      <c r="G156" s="46">
        <f t="shared" si="58"/>
        <v>1.06</v>
      </c>
      <c r="H156" s="5">
        <f t="shared" si="55"/>
        <v>101</v>
      </c>
      <c r="I156" s="4"/>
      <c r="J156" s="4">
        <v>0.06</v>
      </c>
      <c r="K156" s="5">
        <f t="shared" si="56"/>
        <v>63</v>
      </c>
      <c r="L156" s="4">
        <v>38</v>
      </c>
      <c r="M156" s="7">
        <f t="shared" si="57"/>
        <v>1.0961904761904762</v>
      </c>
      <c r="N156" s="6"/>
    </row>
    <row r="157" spans="1:14" x14ac:dyDescent="0.25">
      <c r="A157" s="4">
        <v>1060</v>
      </c>
      <c r="B157" s="5">
        <f t="shared" si="50"/>
        <v>1161.5999999999999</v>
      </c>
      <c r="C157" s="5">
        <f t="shared" si="51"/>
        <v>337.4084793548181</v>
      </c>
      <c r="D157" s="34">
        <f t="shared" si="52"/>
        <v>349.4084793548181</v>
      </c>
      <c r="E157" s="34">
        <f t="shared" si="53"/>
        <v>1097.6991118430774</v>
      </c>
      <c r="F157" s="39">
        <f t="shared" si="54"/>
        <v>548.84955592153869</v>
      </c>
      <c r="G157" s="46">
        <f t="shared" si="58"/>
        <v>1.06</v>
      </c>
      <c r="H157" s="5">
        <f t="shared" si="55"/>
        <v>101.6</v>
      </c>
      <c r="I157" s="4"/>
      <c r="J157" s="4">
        <v>0.06</v>
      </c>
      <c r="K157" s="5">
        <f t="shared" si="56"/>
        <v>63.599999999999994</v>
      </c>
      <c r="L157" s="4">
        <v>38</v>
      </c>
      <c r="M157" s="7">
        <f t="shared" si="57"/>
        <v>1.0958490566037735</v>
      </c>
      <c r="N157" s="6"/>
    </row>
    <row r="158" spans="1:14" x14ac:dyDescent="0.25">
      <c r="A158" s="4">
        <v>1070</v>
      </c>
      <c r="B158" s="5">
        <f t="shared" si="50"/>
        <v>1172.2</v>
      </c>
      <c r="C158" s="5">
        <f t="shared" si="51"/>
        <v>340.59157821665605</v>
      </c>
      <c r="D158" s="34">
        <f t="shared" si="52"/>
        <v>352.59157821665605</v>
      </c>
      <c r="E158" s="34">
        <f t="shared" si="53"/>
        <v>1107.6991118430776</v>
      </c>
      <c r="F158" s="39">
        <f t="shared" si="54"/>
        <v>553.84955592153881</v>
      </c>
      <c r="G158" s="46">
        <f t="shared" si="58"/>
        <v>1.06</v>
      </c>
      <c r="H158" s="5">
        <f t="shared" si="55"/>
        <v>102.2</v>
      </c>
      <c r="I158" s="4"/>
      <c r="J158" s="4">
        <v>0.06</v>
      </c>
      <c r="K158" s="5">
        <f t="shared" si="56"/>
        <v>64.2</v>
      </c>
      <c r="L158" s="4">
        <v>38</v>
      </c>
      <c r="M158" s="7">
        <f t="shared" si="57"/>
        <v>1.0955140186915888</v>
      </c>
      <c r="N158" s="6"/>
    </row>
    <row r="159" spans="1:14" x14ac:dyDescent="0.25">
      <c r="A159" s="4">
        <v>1080</v>
      </c>
      <c r="B159" s="5">
        <f t="shared" si="50"/>
        <v>1182.8</v>
      </c>
      <c r="C159" s="5">
        <f t="shared" si="51"/>
        <v>343.77467707849394</v>
      </c>
      <c r="D159" s="34">
        <f t="shared" si="52"/>
        <v>355.77467707849394</v>
      </c>
      <c r="E159" s="34">
        <f t="shared" si="53"/>
        <v>1117.6991118430776</v>
      </c>
      <c r="F159" s="39">
        <f t="shared" si="54"/>
        <v>558.84955592153881</v>
      </c>
      <c r="G159" s="46">
        <f t="shared" si="58"/>
        <v>1.06</v>
      </c>
      <c r="H159" s="5">
        <f t="shared" si="55"/>
        <v>102.8</v>
      </c>
      <c r="I159" s="4"/>
      <c r="J159" s="4">
        <v>0.06</v>
      </c>
      <c r="K159" s="5">
        <f t="shared" si="56"/>
        <v>64.8</v>
      </c>
      <c r="L159" s="4">
        <v>38</v>
      </c>
      <c r="M159" s="7">
        <f t="shared" si="57"/>
        <v>1.095185185185185</v>
      </c>
      <c r="N159" s="6"/>
    </row>
    <row r="160" spans="1:14" x14ac:dyDescent="0.25">
      <c r="A160" s="4">
        <v>1090</v>
      </c>
      <c r="B160" s="5">
        <f t="shared" si="50"/>
        <v>1193.4000000000001</v>
      </c>
      <c r="C160" s="5">
        <f t="shared" si="51"/>
        <v>346.95777594033183</v>
      </c>
      <c r="D160" s="34">
        <f t="shared" si="52"/>
        <v>358.95777594033183</v>
      </c>
      <c r="E160" s="34">
        <f t="shared" si="53"/>
        <v>1127.6991118430774</v>
      </c>
      <c r="F160" s="39">
        <f t="shared" si="54"/>
        <v>563.84955592153869</v>
      </c>
      <c r="G160" s="46">
        <f t="shared" si="58"/>
        <v>1.06</v>
      </c>
      <c r="H160" s="5">
        <f t="shared" si="55"/>
        <v>103.39999999999999</v>
      </c>
      <c r="I160" s="4"/>
      <c r="J160" s="4">
        <v>0.06</v>
      </c>
      <c r="K160" s="5">
        <f t="shared" si="56"/>
        <v>65.399999999999991</v>
      </c>
      <c r="L160" s="4">
        <v>38</v>
      </c>
      <c r="M160" s="7">
        <f t="shared" si="57"/>
        <v>1.094862385321101</v>
      </c>
      <c r="N160" s="6"/>
    </row>
    <row r="161" spans="1:14" x14ac:dyDescent="0.25">
      <c r="A161" s="4">
        <v>1100</v>
      </c>
      <c r="B161" s="5">
        <f t="shared" si="50"/>
        <v>1204</v>
      </c>
      <c r="C161" s="5">
        <f t="shared" si="51"/>
        <v>350.14087480216978</v>
      </c>
      <c r="D161" s="34">
        <f t="shared" si="52"/>
        <v>362.14087480216978</v>
      </c>
      <c r="E161" s="34">
        <f t="shared" si="53"/>
        <v>1137.6991118430776</v>
      </c>
      <c r="F161" s="39">
        <f t="shared" si="54"/>
        <v>568.84955592153881</v>
      </c>
      <c r="G161" s="46">
        <f t="shared" si="58"/>
        <v>1.06</v>
      </c>
      <c r="H161" s="5">
        <f t="shared" si="55"/>
        <v>104</v>
      </c>
      <c r="I161" s="4"/>
      <c r="J161" s="4">
        <v>0.06</v>
      </c>
      <c r="K161" s="5">
        <f t="shared" si="56"/>
        <v>66</v>
      </c>
      <c r="L161" s="4">
        <v>38</v>
      </c>
      <c r="M161" s="7">
        <f t="shared" si="57"/>
        <v>1.0945454545454545</v>
      </c>
      <c r="N161" s="6"/>
    </row>
    <row r="162" spans="1:14" x14ac:dyDescent="0.25">
      <c r="A162" s="4">
        <v>1110</v>
      </c>
      <c r="B162" s="5">
        <f t="shared" si="50"/>
        <v>1214.5999999999999</v>
      </c>
      <c r="C162" s="5">
        <f t="shared" si="51"/>
        <v>353.32397366400767</v>
      </c>
      <c r="D162" s="34">
        <f t="shared" si="52"/>
        <v>365.32397366400767</v>
      </c>
      <c r="E162" s="34">
        <f t="shared" si="53"/>
        <v>1147.6991118430776</v>
      </c>
      <c r="F162" s="39">
        <f t="shared" si="54"/>
        <v>573.84955592153881</v>
      </c>
      <c r="G162" s="46">
        <f t="shared" si="58"/>
        <v>1.06</v>
      </c>
      <c r="H162" s="5">
        <f t="shared" si="55"/>
        <v>104.6</v>
      </c>
      <c r="I162" s="4"/>
      <c r="J162" s="4">
        <v>0.06</v>
      </c>
      <c r="K162" s="5">
        <f t="shared" si="56"/>
        <v>66.599999999999994</v>
      </c>
      <c r="L162" s="4">
        <v>38</v>
      </c>
      <c r="M162" s="7">
        <f t="shared" si="57"/>
        <v>1.0942342342342342</v>
      </c>
      <c r="N162" s="6"/>
    </row>
    <row r="163" spans="1:14" x14ac:dyDescent="0.25">
      <c r="A163" s="4">
        <v>1120</v>
      </c>
      <c r="B163" s="5">
        <f t="shared" si="50"/>
        <v>1225.2</v>
      </c>
      <c r="C163" s="5">
        <f t="shared" si="51"/>
        <v>356.50707252584556</v>
      </c>
      <c r="D163" s="34">
        <f t="shared" si="52"/>
        <v>368.50707252584556</v>
      </c>
      <c r="E163" s="34">
        <f t="shared" si="53"/>
        <v>1157.6991118430774</v>
      </c>
      <c r="F163" s="39">
        <f t="shared" si="54"/>
        <v>578.84955592153869</v>
      </c>
      <c r="G163" s="46">
        <f t="shared" si="58"/>
        <v>1.06</v>
      </c>
      <c r="H163" s="5">
        <f t="shared" si="55"/>
        <v>105.2</v>
      </c>
      <c r="I163" s="4"/>
      <c r="J163" s="4">
        <v>0.06</v>
      </c>
      <c r="K163" s="5">
        <f t="shared" si="56"/>
        <v>67.2</v>
      </c>
      <c r="L163" s="4">
        <v>38</v>
      </c>
      <c r="M163" s="7">
        <f t="shared" si="57"/>
        <v>1.0939285714285714</v>
      </c>
      <c r="N163" s="6"/>
    </row>
    <row r="164" spans="1:14" x14ac:dyDescent="0.25">
      <c r="A164" s="4">
        <v>1130</v>
      </c>
      <c r="B164" s="5">
        <f t="shared" si="50"/>
        <v>1235.8</v>
      </c>
      <c r="C164" s="5">
        <f t="shared" si="51"/>
        <v>359.69017138768345</v>
      </c>
      <c r="D164" s="34">
        <f t="shared" si="52"/>
        <v>371.69017138768345</v>
      </c>
      <c r="E164" s="34">
        <f t="shared" si="53"/>
        <v>1167.6991118430774</v>
      </c>
      <c r="F164" s="39">
        <f t="shared" si="54"/>
        <v>583.84955592153869</v>
      </c>
      <c r="G164" s="46">
        <f t="shared" si="58"/>
        <v>1.06</v>
      </c>
      <c r="H164" s="5">
        <f t="shared" si="55"/>
        <v>105.8</v>
      </c>
      <c r="I164" s="4"/>
      <c r="J164" s="4">
        <v>0.06</v>
      </c>
      <c r="K164" s="5">
        <f t="shared" si="56"/>
        <v>67.8</v>
      </c>
      <c r="L164" s="4">
        <v>38</v>
      </c>
      <c r="M164" s="7">
        <f t="shared" si="57"/>
        <v>1.0936283185840707</v>
      </c>
      <c r="N164" s="6"/>
    </row>
    <row r="165" spans="1:14" x14ac:dyDescent="0.25">
      <c r="A165" s="4">
        <v>1140</v>
      </c>
      <c r="B165" s="5">
        <f t="shared" si="50"/>
        <v>1246.4000000000001</v>
      </c>
      <c r="C165" s="5">
        <f t="shared" si="51"/>
        <v>362.8732702495214</v>
      </c>
      <c r="D165" s="34">
        <f t="shared" si="52"/>
        <v>374.8732702495214</v>
      </c>
      <c r="E165" s="34">
        <f t="shared" si="53"/>
        <v>1177.6991118430776</v>
      </c>
      <c r="F165" s="39">
        <f t="shared" si="54"/>
        <v>588.84955592153881</v>
      </c>
      <c r="G165" s="46">
        <f t="shared" si="58"/>
        <v>1.06</v>
      </c>
      <c r="H165" s="5">
        <f t="shared" si="55"/>
        <v>106.39999999999999</v>
      </c>
      <c r="I165" s="4"/>
      <c r="J165" s="4">
        <v>0.06</v>
      </c>
      <c r="K165" s="5">
        <f t="shared" si="56"/>
        <v>68.399999999999991</v>
      </c>
      <c r="L165" s="4">
        <v>38</v>
      </c>
      <c r="M165" s="7">
        <f t="shared" si="57"/>
        <v>1.0933333333333335</v>
      </c>
      <c r="N165" s="6"/>
    </row>
    <row r="166" spans="1:14" x14ac:dyDescent="0.25">
      <c r="A166" s="4">
        <v>1150</v>
      </c>
      <c r="B166" s="5">
        <f t="shared" si="50"/>
        <v>1257</v>
      </c>
      <c r="C166" s="5">
        <f t="shared" si="51"/>
        <v>366.05636911135929</v>
      </c>
      <c r="D166" s="34">
        <f t="shared" si="52"/>
        <v>378.05636911135929</v>
      </c>
      <c r="E166" s="34">
        <f t="shared" si="53"/>
        <v>1187.6991118430776</v>
      </c>
      <c r="F166" s="39">
        <f t="shared" si="54"/>
        <v>593.84955592153881</v>
      </c>
      <c r="G166" s="46">
        <f t="shared" si="58"/>
        <v>1.06</v>
      </c>
      <c r="H166" s="5">
        <f t="shared" si="55"/>
        <v>107</v>
      </c>
      <c r="I166" s="4"/>
      <c r="J166" s="4">
        <v>0.06</v>
      </c>
      <c r="K166" s="5">
        <f t="shared" si="56"/>
        <v>69</v>
      </c>
      <c r="L166" s="4">
        <v>38</v>
      </c>
      <c r="M166" s="7">
        <f t="shared" si="57"/>
        <v>1.0930434782608696</v>
      </c>
      <c r="N166" s="6"/>
    </row>
    <row r="167" spans="1:14" x14ac:dyDescent="0.25">
      <c r="A167" s="4">
        <v>1160</v>
      </c>
      <c r="B167" s="5">
        <f t="shared" si="50"/>
        <v>1267.5999999999999</v>
      </c>
      <c r="C167" s="5">
        <f t="shared" si="51"/>
        <v>369.23946797319718</v>
      </c>
      <c r="D167" s="34">
        <f t="shared" si="52"/>
        <v>381.23946797319718</v>
      </c>
      <c r="E167" s="34">
        <f t="shared" si="53"/>
        <v>1197.6991118430774</v>
      </c>
      <c r="F167" s="39">
        <f t="shared" si="54"/>
        <v>598.84955592153869</v>
      </c>
      <c r="G167" s="46">
        <f t="shared" si="58"/>
        <v>1.06</v>
      </c>
      <c r="H167" s="5">
        <f t="shared" si="55"/>
        <v>107.6</v>
      </c>
      <c r="I167" s="4"/>
      <c r="J167" s="4">
        <v>0.06</v>
      </c>
      <c r="K167" s="5">
        <f t="shared" si="56"/>
        <v>69.599999999999994</v>
      </c>
      <c r="L167" s="4">
        <v>38</v>
      </c>
      <c r="M167" s="7">
        <f t="shared" si="57"/>
        <v>1.0927586206896551</v>
      </c>
      <c r="N167" s="6"/>
    </row>
    <row r="168" spans="1:14" x14ac:dyDescent="0.25">
      <c r="A168" s="4">
        <v>1170</v>
      </c>
      <c r="B168" s="5">
        <f t="shared" si="50"/>
        <v>1278.2</v>
      </c>
      <c r="C168" s="5">
        <f t="shared" si="51"/>
        <v>372.42256683503513</v>
      </c>
      <c r="D168" s="34">
        <f t="shared" si="52"/>
        <v>384.42256683503513</v>
      </c>
      <c r="E168" s="34">
        <f t="shared" si="53"/>
        <v>1207.6991118430776</v>
      </c>
      <c r="F168" s="39">
        <f t="shared" si="54"/>
        <v>603.84955592153881</v>
      </c>
      <c r="G168" s="46">
        <f t="shared" si="58"/>
        <v>1.06</v>
      </c>
      <c r="H168" s="5">
        <f t="shared" si="55"/>
        <v>108.2</v>
      </c>
      <c r="I168" s="4"/>
      <c r="J168" s="4">
        <v>0.06</v>
      </c>
      <c r="K168" s="5">
        <f t="shared" si="56"/>
        <v>70.2</v>
      </c>
      <c r="L168" s="4">
        <v>38</v>
      </c>
      <c r="M168" s="7">
        <f t="shared" si="57"/>
        <v>1.0924786324786324</v>
      </c>
      <c r="N168" s="6"/>
    </row>
    <row r="169" spans="1:14" x14ac:dyDescent="0.25">
      <c r="A169" s="4">
        <v>1180</v>
      </c>
      <c r="B169" s="5">
        <f t="shared" si="50"/>
        <v>1288.8</v>
      </c>
      <c r="C169" s="5">
        <f t="shared" si="51"/>
        <v>375.60566569687302</v>
      </c>
      <c r="D169" s="34">
        <f t="shared" si="52"/>
        <v>387.60566569687302</v>
      </c>
      <c r="E169" s="34">
        <f t="shared" si="53"/>
        <v>1217.6991118430776</v>
      </c>
      <c r="F169" s="39">
        <f t="shared" si="54"/>
        <v>608.84955592153881</v>
      </c>
      <c r="G169" s="46">
        <f t="shared" si="58"/>
        <v>1.06</v>
      </c>
      <c r="H169" s="5">
        <f t="shared" si="55"/>
        <v>108.8</v>
      </c>
      <c r="I169" s="4"/>
      <c r="J169" s="4">
        <v>0.06</v>
      </c>
      <c r="K169" s="5">
        <f t="shared" si="56"/>
        <v>70.8</v>
      </c>
      <c r="L169" s="4">
        <v>38</v>
      </c>
      <c r="M169" s="7">
        <f t="shared" si="57"/>
        <v>1.0922033898305084</v>
      </c>
      <c r="N169" s="6"/>
    </row>
    <row r="170" spans="1:14" x14ac:dyDescent="0.25">
      <c r="A170" s="4">
        <v>1190</v>
      </c>
      <c r="B170" s="5">
        <f t="shared" si="50"/>
        <v>1299.4000000000001</v>
      </c>
      <c r="C170" s="5">
        <f t="shared" si="51"/>
        <v>378.78876455871091</v>
      </c>
      <c r="D170" s="34">
        <f t="shared" si="52"/>
        <v>390.78876455871091</v>
      </c>
      <c r="E170" s="34">
        <f t="shared" si="53"/>
        <v>1227.6991118430774</v>
      </c>
      <c r="F170" s="39">
        <f t="shared" si="54"/>
        <v>613.84955592153869</v>
      </c>
      <c r="G170" s="46">
        <f t="shared" si="58"/>
        <v>1.06</v>
      </c>
      <c r="H170" s="5">
        <f t="shared" si="55"/>
        <v>109.39999999999999</v>
      </c>
      <c r="I170" s="4"/>
      <c r="J170" s="4">
        <v>0.06</v>
      </c>
      <c r="K170" s="5">
        <f t="shared" si="56"/>
        <v>71.399999999999991</v>
      </c>
      <c r="L170" s="4">
        <v>38</v>
      </c>
      <c r="M170" s="7">
        <f t="shared" si="57"/>
        <v>1.0919327731092439</v>
      </c>
      <c r="N170" s="6"/>
    </row>
    <row r="171" spans="1:14" x14ac:dyDescent="0.25">
      <c r="A171" s="4">
        <v>1200</v>
      </c>
      <c r="B171" s="5">
        <f t="shared" si="50"/>
        <v>1310</v>
      </c>
      <c r="C171" s="5">
        <f t="shared" si="51"/>
        <v>381.9718634205488</v>
      </c>
      <c r="D171" s="34">
        <f t="shared" si="52"/>
        <v>393.9718634205488</v>
      </c>
      <c r="E171" s="34">
        <f t="shared" si="53"/>
        <v>1237.6991118430774</v>
      </c>
      <c r="F171" s="39">
        <f t="shared" si="54"/>
        <v>618.84955592153869</v>
      </c>
      <c r="G171" s="46">
        <f t="shared" si="58"/>
        <v>1.06</v>
      </c>
      <c r="H171" s="5">
        <f t="shared" si="55"/>
        <v>110</v>
      </c>
      <c r="I171" s="4"/>
      <c r="J171" s="4">
        <v>0.06</v>
      </c>
      <c r="K171" s="5">
        <f t="shared" si="56"/>
        <v>72</v>
      </c>
      <c r="L171" s="4">
        <v>38</v>
      </c>
      <c r="M171" s="7">
        <f t="shared" si="57"/>
        <v>1.0916666666666666</v>
      </c>
      <c r="N171" s="6"/>
    </row>
    <row r="172" spans="1:14" x14ac:dyDescent="0.25">
      <c r="A172" s="4">
        <v>1210</v>
      </c>
      <c r="B172" s="5">
        <f t="shared" si="50"/>
        <v>1320.6</v>
      </c>
      <c r="C172" s="5">
        <f t="shared" si="51"/>
        <v>385.15496228238675</v>
      </c>
      <c r="D172" s="34">
        <f t="shared" si="52"/>
        <v>397.15496228238675</v>
      </c>
      <c r="E172" s="34">
        <f t="shared" si="53"/>
        <v>1247.6991118430776</v>
      </c>
      <c r="F172" s="39">
        <f t="shared" si="54"/>
        <v>623.84955592153881</v>
      </c>
      <c r="G172" s="46">
        <f t="shared" si="58"/>
        <v>1.06</v>
      </c>
      <c r="H172" s="5">
        <f t="shared" si="55"/>
        <v>110.6</v>
      </c>
      <c r="I172" s="4"/>
      <c r="J172" s="4">
        <v>0.06</v>
      </c>
      <c r="K172" s="5">
        <f t="shared" si="56"/>
        <v>72.599999999999994</v>
      </c>
      <c r="L172" s="4">
        <v>38</v>
      </c>
      <c r="M172" s="7">
        <f t="shared" si="57"/>
        <v>1.0914049586776859</v>
      </c>
      <c r="N172" s="6"/>
    </row>
    <row r="173" spans="1:14" x14ac:dyDescent="0.25">
      <c r="A173" s="4">
        <v>1220</v>
      </c>
      <c r="B173" s="5">
        <f t="shared" si="50"/>
        <v>1331.2</v>
      </c>
      <c r="C173" s="5">
        <f t="shared" si="51"/>
        <v>388.33806114422464</v>
      </c>
      <c r="D173" s="34">
        <f t="shared" si="52"/>
        <v>400.33806114422464</v>
      </c>
      <c r="E173" s="34">
        <f t="shared" si="53"/>
        <v>1257.6991118430776</v>
      </c>
      <c r="F173" s="39">
        <f t="shared" si="54"/>
        <v>628.84955592153881</v>
      </c>
      <c r="G173" s="46">
        <f t="shared" si="58"/>
        <v>1.06</v>
      </c>
      <c r="H173" s="5">
        <f t="shared" si="55"/>
        <v>111.2</v>
      </c>
      <c r="I173" s="4"/>
      <c r="J173" s="4">
        <v>0.06</v>
      </c>
      <c r="K173" s="5">
        <f t="shared" si="56"/>
        <v>73.2</v>
      </c>
      <c r="L173" s="4">
        <v>38</v>
      </c>
      <c r="M173" s="7">
        <f t="shared" si="57"/>
        <v>1.0911475409836067</v>
      </c>
      <c r="N173" s="6"/>
    </row>
    <row r="174" spans="1:14" x14ac:dyDescent="0.25">
      <c r="A174" s="4">
        <v>1230</v>
      </c>
      <c r="B174" s="5">
        <f t="shared" ref="B174:B237" si="59">A174+K174+L174</f>
        <v>1341.8</v>
      </c>
      <c r="C174" s="5">
        <f t="shared" ref="C174:C237" si="60">A174/PI()</f>
        <v>391.52116000606253</v>
      </c>
      <c r="D174" s="34">
        <f t="shared" ref="D174:D237" si="61">C174+12</f>
        <v>403.52116000606253</v>
      </c>
      <c r="E174" s="34">
        <f t="shared" ref="E174:E237" si="62">D174*PI()</f>
        <v>1267.6991118430774</v>
      </c>
      <c r="F174" s="39">
        <f t="shared" ref="F174:F237" si="63">E174/2</f>
        <v>633.84955592153869</v>
      </c>
      <c r="G174" s="46">
        <f t="shared" si="58"/>
        <v>1.06</v>
      </c>
      <c r="H174" s="5">
        <f t="shared" ref="H174:H237" si="64">K174+L174</f>
        <v>111.8</v>
      </c>
      <c r="I174" s="4"/>
      <c r="J174" s="4">
        <v>0.06</v>
      </c>
      <c r="K174" s="5">
        <f t="shared" ref="K174:K237" si="65">A174*J174</f>
        <v>73.8</v>
      </c>
      <c r="L174" s="4">
        <v>38</v>
      </c>
      <c r="M174" s="7">
        <f t="shared" ref="M174:M237" si="66">B174/A174</f>
        <v>1.0908943089430894</v>
      </c>
      <c r="N174" s="6"/>
    </row>
    <row r="175" spans="1:14" x14ac:dyDescent="0.25">
      <c r="A175" s="4">
        <v>1240</v>
      </c>
      <c r="B175" s="5">
        <f t="shared" si="59"/>
        <v>1352.4</v>
      </c>
      <c r="C175" s="5">
        <f t="shared" si="60"/>
        <v>394.70425886790042</v>
      </c>
      <c r="D175" s="34">
        <f t="shared" si="61"/>
        <v>406.70425886790042</v>
      </c>
      <c r="E175" s="34">
        <f t="shared" si="62"/>
        <v>1277.6991118430774</v>
      </c>
      <c r="F175" s="39">
        <f t="shared" si="63"/>
        <v>638.84955592153869</v>
      </c>
      <c r="G175" s="46">
        <f t="shared" si="58"/>
        <v>1.06</v>
      </c>
      <c r="H175" s="5">
        <f t="shared" si="64"/>
        <v>112.39999999999999</v>
      </c>
      <c r="I175" s="4"/>
      <c r="J175" s="4">
        <v>0.06</v>
      </c>
      <c r="K175" s="5">
        <f t="shared" si="65"/>
        <v>74.399999999999991</v>
      </c>
      <c r="L175" s="4">
        <v>38</v>
      </c>
      <c r="M175" s="7">
        <f t="shared" si="66"/>
        <v>1.0906451612903227</v>
      </c>
      <c r="N175" s="6"/>
    </row>
    <row r="176" spans="1:14" x14ac:dyDescent="0.25">
      <c r="A176" s="4">
        <v>1250</v>
      </c>
      <c r="B176" s="5">
        <f t="shared" si="59"/>
        <v>1363</v>
      </c>
      <c r="C176" s="5">
        <f t="shared" si="60"/>
        <v>397.88735772973837</v>
      </c>
      <c r="D176" s="34">
        <f t="shared" si="61"/>
        <v>409.88735772973837</v>
      </c>
      <c r="E176" s="34">
        <f t="shared" si="62"/>
        <v>1287.6991118430776</v>
      </c>
      <c r="F176" s="39">
        <f t="shared" si="63"/>
        <v>643.84955592153881</v>
      </c>
      <c r="G176" s="46">
        <f t="shared" si="58"/>
        <v>1.06</v>
      </c>
      <c r="H176" s="5">
        <f t="shared" si="64"/>
        <v>113</v>
      </c>
      <c r="I176" s="4"/>
      <c r="J176" s="4">
        <v>0.06</v>
      </c>
      <c r="K176" s="5">
        <f t="shared" si="65"/>
        <v>75</v>
      </c>
      <c r="L176" s="4">
        <v>38</v>
      </c>
      <c r="M176" s="7">
        <f t="shared" si="66"/>
        <v>1.0904</v>
      </c>
      <c r="N176" s="6"/>
    </row>
    <row r="177" spans="1:14" x14ac:dyDescent="0.25">
      <c r="A177" s="4">
        <v>1260</v>
      </c>
      <c r="B177" s="5">
        <f t="shared" si="59"/>
        <v>1373.6</v>
      </c>
      <c r="C177" s="5">
        <f t="shared" si="60"/>
        <v>401.07045659157626</v>
      </c>
      <c r="D177" s="34">
        <f t="shared" si="61"/>
        <v>413.07045659157626</v>
      </c>
      <c r="E177" s="34">
        <f t="shared" si="62"/>
        <v>1297.6991118430776</v>
      </c>
      <c r="F177" s="39">
        <f t="shared" si="63"/>
        <v>648.84955592153881</v>
      </c>
      <c r="G177" s="46">
        <f t="shared" si="58"/>
        <v>1.06</v>
      </c>
      <c r="H177" s="5">
        <f t="shared" si="64"/>
        <v>113.6</v>
      </c>
      <c r="I177" s="4"/>
      <c r="J177" s="4">
        <v>0.06</v>
      </c>
      <c r="K177" s="5">
        <f t="shared" si="65"/>
        <v>75.599999999999994</v>
      </c>
      <c r="L177" s="4">
        <v>38</v>
      </c>
      <c r="M177" s="7">
        <f t="shared" si="66"/>
        <v>1.0901587301587301</v>
      </c>
      <c r="N177" s="6"/>
    </row>
    <row r="178" spans="1:14" x14ac:dyDescent="0.25">
      <c r="A178" s="4">
        <v>1270</v>
      </c>
      <c r="B178" s="5">
        <f t="shared" si="59"/>
        <v>1384.2</v>
      </c>
      <c r="C178" s="5">
        <f t="shared" si="60"/>
        <v>404.25355545341415</v>
      </c>
      <c r="D178" s="34">
        <f t="shared" si="61"/>
        <v>416.25355545341415</v>
      </c>
      <c r="E178" s="34">
        <f t="shared" si="62"/>
        <v>1307.6991118430774</v>
      </c>
      <c r="F178" s="39">
        <f t="shared" si="63"/>
        <v>653.84955592153869</v>
      </c>
      <c r="G178" s="46">
        <f t="shared" si="58"/>
        <v>1.06</v>
      </c>
      <c r="H178" s="5">
        <f t="shared" si="64"/>
        <v>114.2</v>
      </c>
      <c r="I178" s="4"/>
      <c r="J178" s="4">
        <v>0.06</v>
      </c>
      <c r="K178" s="5">
        <f t="shared" si="65"/>
        <v>76.2</v>
      </c>
      <c r="L178" s="4">
        <v>38</v>
      </c>
      <c r="M178" s="7">
        <f t="shared" si="66"/>
        <v>1.0899212598425196</v>
      </c>
      <c r="N178" s="6"/>
    </row>
    <row r="179" spans="1:14" x14ac:dyDescent="0.25">
      <c r="A179" s="4">
        <v>1280</v>
      </c>
      <c r="B179" s="5">
        <f t="shared" si="59"/>
        <v>1394.8</v>
      </c>
      <c r="C179" s="5">
        <f t="shared" si="60"/>
        <v>407.4366543152521</v>
      </c>
      <c r="D179" s="34">
        <f t="shared" si="61"/>
        <v>419.4366543152521</v>
      </c>
      <c r="E179" s="34">
        <f t="shared" si="62"/>
        <v>1317.6991118430776</v>
      </c>
      <c r="F179" s="39">
        <f t="shared" si="63"/>
        <v>658.84955592153881</v>
      </c>
      <c r="G179" s="46">
        <f t="shared" si="58"/>
        <v>1.06</v>
      </c>
      <c r="H179" s="5">
        <f t="shared" si="64"/>
        <v>114.8</v>
      </c>
      <c r="I179" s="4"/>
      <c r="J179" s="4">
        <v>0.06</v>
      </c>
      <c r="K179" s="5">
        <f t="shared" si="65"/>
        <v>76.8</v>
      </c>
      <c r="L179" s="4">
        <v>38</v>
      </c>
      <c r="M179" s="7">
        <f t="shared" si="66"/>
        <v>1.0896874999999999</v>
      </c>
      <c r="N179" s="6"/>
    </row>
    <row r="180" spans="1:14" x14ac:dyDescent="0.25">
      <c r="A180" s="4">
        <v>1290</v>
      </c>
      <c r="B180" s="5">
        <f t="shared" si="59"/>
        <v>1405.4</v>
      </c>
      <c r="C180" s="5">
        <f t="shared" si="60"/>
        <v>410.61975317708999</v>
      </c>
      <c r="D180" s="34">
        <f t="shared" si="61"/>
        <v>422.61975317708999</v>
      </c>
      <c r="E180" s="34">
        <f t="shared" si="62"/>
        <v>1327.6991118430776</v>
      </c>
      <c r="F180" s="39">
        <f t="shared" si="63"/>
        <v>663.84955592153881</v>
      </c>
      <c r="G180" s="46">
        <f t="shared" si="58"/>
        <v>1.06</v>
      </c>
      <c r="H180" s="5">
        <f t="shared" si="64"/>
        <v>115.39999999999999</v>
      </c>
      <c r="I180" s="4"/>
      <c r="J180" s="4">
        <v>0.06</v>
      </c>
      <c r="K180" s="5">
        <f t="shared" si="65"/>
        <v>77.399999999999991</v>
      </c>
      <c r="L180" s="4">
        <v>38</v>
      </c>
      <c r="M180" s="7">
        <f t="shared" si="66"/>
        <v>1.0894573643410854</v>
      </c>
      <c r="N180" s="6"/>
    </row>
    <row r="181" spans="1:14" x14ac:dyDescent="0.25">
      <c r="A181" s="4">
        <v>1300</v>
      </c>
      <c r="B181" s="5">
        <f t="shared" si="59"/>
        <v>1416</v>
      </c>
      <c r="C181" s="5">
        <f t="shared" si="60"/>
        <v>413.80285203892788</v>
      </c>
      <c r="D181" s="34">
        <f t="shared" si="61"/>
        <v>425.80285203892788</v>
      </c>
      <c r="E181" s="34">
        <f t="shared" si="62"/>
        <v>1337.6991118430774</v>
      </c>
      <c r="F181" s="39">
        <f t="shared" si="63"/>
        <v>668.84955592153869</v>
      </c>
      <c r="G181" s="46">
        <f t="shared" si="58"/>
        <v>1.06</v>
      </c>
      <c r="H181" s="5">
        <f t="shared" si="64"/>
        <v>116</v>
      </c>
      <c r="I181" s="4"/>
      <c r="J181" s="4">
        <v>0.06</v>
      </c>
      <c r="K181" s="5">
        <f t="shared" si="65"/>
        <v>78</v>
      </c>
      <c r="L181" s="4">
        <v>38</v>
      </c>
      <c r="M181" s="7">
        <f t="shared" si="66"/>
        <v>1.0892307692307692</v>
      </c>
      <c r="N181" s="6"/>
    </row>
    <row r="182" spans="1:14" x14ac:dyDescent="0.25">
      <c r="A182" s="4">
        <v>1310</v>
      </c>
      <c r="B182" s="5">
        <f t="shared" si="59"/>
        <v>1426.6</v>
      </c>
      <c r="C182" s="5">
        <f t="shared" si="60"/>
        <v>416.98595090076577</v>
      </c>
      <c r="D182" s="34">
        <f t="shared" si="61"/>
        <v>428.98595090076577</v>
      </c>
      <c r="E182" s="34">
        <f t="shared" si="62"/>
        <v>1347.6991118430774</v>
      </c>
      <c r="F182" s="39">
        <f t="shared" si="63"/>
        <v>673.84955592153869</v>
      </c>
      <c r="G182" s="46">
        <f t="shared" si="58"/>
        <v>1.06</v>
      </c>
      <c r="H182" s="5">
        <f t="shared" si="64"/>
        <v>116.6</v>
      </c>
      <c r="I182" s="4"/>
      <c r="J182" s="4">
        <v>0.06</v>
      </c>
      <c r="K182" s="5">
        <f t="shared" si="65"/>
        <v>78.599999999999994</v>
      </c>
      <c r="L182" s="4">
        <v>38</v>
      </c>
      <c r="M182" s="7">
        <f t="shared" si="66"/>
        <v>1.0890076335877863</v>
      </c>
      <c r="N182" s="6"/>
    </row>
    <row r="183" spans="1:14" x14ac:dyDescent="0.25">
      <c r="A183" s="4">
        <v>1320</v>
      </c>
      <c r="B183" s="5">
        <f t="shared" si="59"/>
        <v>1437.2</v>
      </c>
      <c r="C183" s="5">
        <f t="shared" si="60"/>
        <v>420.16904976260372</v>
      </c>
      <c r="D183" s="34">
        <f t="shared" si="61"/>
        <v>432.16904976260372</v>
      </c>
      <c r="E183" s="34">
        <f t="shared" si="62"/>
        <v>1357.6991118430776</v>
      </c>
      <c r="F183" s="39">
        <f t="shared" si="63"/>
        <v>678.84955592153881</v>
      </c>
      <c r="G183" s="46">
        <f t="shared" si="58"/>
        <v>1.06</v>
      </c>
      <c r="H183" s="5">
        <f t="shared" si="64"/>
        <v>117.2</v>
      </c>
      <c r="I183" s="4"/>
      <c r="J183" s="4">
        <v>0.06</v>
      </c>
      <c r="K183" s="5">
        <f t="shared" si="65"/>
        <v>79.2</v>
      </c>
      <c r="L183" s="4">
        <v>38</v>
      </c>
      <c r="M183" s="7">
        <f t="shared" si="66"/>
        <v>1.0887878787878789</v>
      </c>
      <c r="N183" s="6"/>
    </row>
    <row r="184" spans="1:14" x14ac:dyDescent="0.25">
      <c r="A184" s="4">
        <v>1330</v>
      </c>
      <c r="B184" s="5">
        <f t="shared" si="59"/>
        <v>1447.8</v>
      </c>
      <c r="C184" s="5">
        <f t="shared" si="60"/>
        <v>423.35214862444161</v>
      </c>
      <c r="D184" s="34">
        <f t="shared" si="61"/>
        <v>435.35214862444161</v>
      </c>
      <c r="E184" s="34">
        <f t="shared" si="62"/>
        <v>1367.6991118430776</v>
      </c>
      <c r="F184" s="39">
        <f t="shared" si="63"/>
        <v>683.84955592153881</v>
      </c>
      <c r="G184" s="46">
        <f t="shared" si="58"/>
        <v>1.06</v>
      </c>
      <c r="H184" s="5">
        <f t="shared" si="64"/>
        <v>117.8</v>
      </c>
      <c r="I184" s="4"/>
      <c r="J184" s="4">
        <v>0.06</v>
      </c>
      <c r="K184" s="5">
        <f t="shared" si="65"/>
        <v>79.8</v>
      </c>
      <c r="L184" s="4">
        <v>38</v>
      </c>
      <c r="M184" s="7">
        <f t="shared" si="66"/>
        <v>1.0885714285714285</v>
      </c>
      <c r="N184" s="6"/>
    </row>
    <row r="185" spans="1:14" x14ac:dyDescent="0.25">
      <c r="A185" s="4">
        <v>1340</v>
      </c>
      <c r="B185" s="5">
        <f t="shared" si="59"/>
        <v>1458.4</v>
      </c>
      <c r="C185" s="5">
        <f t="shared" si="60"/>
        <v>426.5352474862795</v>
      </c>
      <c r="D185" s="34">
        <f t="shared" si="61"/>
        <v>438.5352474862795</v>
      </c>
      <c r="E185" s="34">
        <f t="shared" si="62"/>
        <v>1377.6991118430774</v>
      </c>
      <c r="F185" s="39">
        <f t="shared" si="63"/>
        <v>688.84955592153869</v>
      </c>
      <c r="G185" s="46">
        <f t="shared" si="58"/>
        <v>1.06</v>
      </c>
      <c r="H185" s="5">
        <f t="shared" si="64"/>
        <v>118.39999999999999</v>
      </c>
      <c r="I185" s="4"/>
      <c r="J185" s="4">
        <v>0.06</v>
      </c>
      <c r="K185" s="5">
        <f t="shared" si="65"/>
        <v>80.399999999999991</v>
      </c>
      <c r="L185" s="4">
        <v>38</v>
      </c>
      <c r="M185" s="7">
        <f t="shared" si="66"/>
        <v>1.0883582089552239</v>
      </c>
      <c r="N185" s="6"/>
    </row>
    <row r="186" spans="1:14" x14ac:dyDescent="0.25">
      <c r="A186" s="4">
        <v>1350</v>
      </c>
      <c r="B186" s="5">
        <f t="shared" si="59"/>
        <v>1469</v>
      </c>
      <c r="C186" s="5">
        <f t="shared" si="60"/>
        <v>429.71834634811745</v>
      </c>
      <c r="D186" s="34">
        <f t="shared" si="61"/>
        <v>441.71834634811745</v>
      </c>
      <c r="E186" s="34">
        <f t="shared" si="62"/>
        <v>1387.6991118430776</v>
      </c>
      <c r="F186" s="39">
        <f t="shared" si="63"/>
        <v>693.84955592153881</v>
      </c>
      <c r="G186" s="46">
        <f t="shared" si="58"/>
        <v>1.06</v>
      </c>
      <c r="H186" s="5">
        <f t="shared" si="64"/>
        <v>119</v>
      </c>
      <c r="I186" s="4"/>
      <c r="J186" s="4">
        <v>0.06</v>
      </c>
      <c r="K186" s="5">
        <f t="shared" si="65"/>
        <v>81</v>
      </c>
      <c r="L186" s="4">
        <v>38</v>
      </c>
      <c r="M186" s="7">
        <f t="shared" si="66"/>
        <v>1.0881481481481481</v>
      </c>
      <c r="N186" s="6"/>
    </row>
    <row r="187" spans="1:14" x14ac:dyDescent="0.25">
      <c r="A187" s="4">
        <v>1360</v>
      </c>
      <c r="B187" s="5">
        <f t="shared" si="59"/>
        <v>1479.6</v>
      </c>
      <c r="C187" s="5">
        <f t="shared" si="60"/>
        <v>432.90144520995534</v>
      </c>
      <c r="D187" s="34">
        <f t="shared" si="61"/>
        <v>444.90144520995534</v>
      </c>
      <c r="E187" s="34">
        <f t="shared" si="62"/>
        <v>1397.6991118430776</v>
      </c>
      <c r="F187" s="39">
        <f t="shared" si="63"/>
        <v>698.84955592153881</v>
      </c>
      <c r="G187" s="46">
        <f t="shared" si="58"/>
        <v>1.06</v>
      </c>
      <c r="H187" s="5">
        <f t="shared" si="64"/>
        <v>119.6</v>
      </c>
      <c r="I187" s="4"/>
      <c r="J187" s="4">
        <v>0.06</v>
      </c>
      <c r="K187" s="5">
        <f t="shared" si="65"/>
        <v>81.599999999999994</v>
      </c>
      <c r="L187" s="4">
        <v>38</v>
      </c>
      <c r="M187" s="7">
        <f t="shared" si="66"/>
        <v>1.0879411764705882</v>
      </c>
      <c r="N187" s="6"/>
    </row>
    <row r="188" spans="1:14" x14ac:dyDescent="0.25">
      <c r="A188" s="4">
        <v>1370</v>
      </c>
      <c r="B188" s="5">
        <f t="shared" si="59"/>
        <v>1490.2</v>
      </c>
      <c r="C188" s="5">
        <f t="shared" si="60"/>
        <v>436.08454407179323</v>
      </c>
      <c r="D188" s="34">
        <f t="shared" si="61"/>
        <v>448.08454407179323</v>
      </c>
      <c r="E188" s="34">
        <f t="shared" si="62"/>
        <v>1407.6991118430774</v>
      </c>
      <c r="F188" s="39">
        <f t="shared" si="63"/>
        <v>703.84955592153869</v>
      </c>
      <c r="G188" s="46">
        <f t="shared" si="58"/>
        <v>1.06</v>
      </c>
      <c r="H188" s="5">
        <f t="shared" si="64"/>
        <v>120.2</v>
      </c>
      <c r="I188" s="4"/>
      <c r="J188" s="4">
        <v>0.06</v>
      </c>
      <c r="K188" s="5">
        <f t="shared" si="65"/>
        <v>82.2</v>
      </c>
      <c r="L188" s="4">
        <v>38</v>
      </c>
      <c r="M188" s="7">
        <f t="shared" si="66"/>
        <v>1.0877372262773723</v>
      </c>
      <c r="N188" s="6"/>
    </row>
    <row r="189" spans="1:14" x14ac:dyDescent="0.25">
      <c r="A189" s="4">
        <v>1380</v>
      </c>
      <c r="B189" s="5">
        <f t="shared" si="59"/>
        <v>1500.8</v>
      </c>
      <c r="C189" s="5">
        <f t="shared" si="60"/>
        <v>439.26764293363112</v>
      </c>
      <c r="D189" s="34">
        <f t="shared" si="61"/>
        <v>451.26764293363112</v>
      </c>
      <c r="E189" s="34">
        <f t="shared" si="62"/>
        <v>1417.6991118430774</v>
      </c>
      <c r="F189" s="39">
        <f t="shared" si="63"/>
        <v>708.84955592153869</v>
      </c>
      <c r="G189" s="46">
        <f t="shared" si="58"/>
        <v>1.06</v>
      </c>
      <c r="H189" s="5">
        <f t="shared" si="64"/>
        <v>120.8</v>
      </c>
      <c r="I189" s="4"/>
      <c r="J189" s="4">
        <v>0.06</v>
      </c>
      <c r="K189" s="5">
        <f t="shared" si="65"/>
        <v>82.8</v>
      </c>
      <c r="L189" s="4">
        <v>38</v>
      </c>
      <c r="M189" s="7">
        <f t="shared" si="66"/>
        <v>1.087536231884058</v>
      </c>
      <c r="N189" s="6"/>
    </row>
    <row r="190" spans="1:14" x14ac:dyDescent="0.25">
      <c r="A190" s="4">
        <v>1390</v>
      </c>
      <c r="B190" s="5">
        <f t="shared" si="59"/>
        <v>1511.4</v>
      </c>
      <c r="C190" s="5">
        <f t="shared" si="60"/>
        <v>442.45074179546907</v>
      </c>
      <c r="D190" s="34">
        <f t="shared" si="61"/>
        <v>454.45074179546907</v>
      </c>
      <c r="E190" s="34">
        <f t="shared" si="62"/>
        <v>1427.6991118430776</v>
      </c>
      <c r="F190" s="39">
        <f t="shared" si="63"/>
        <v>713.84955592153881</v>
      </c>
      <c r="G190" s="46">
        <f t="shared" si="58"/>
        <v>1.06</v>
      </c>
      <c r="H190" s="5">
        <f t="shared" si="64"/>
        <v>121.39999999999999</v>
      </c>
      <c r="I190" s="4"/>
      <c r="J190" s="4">
        <v>0.06</v>
      </c>
      <c r="K190" s="5">
        <f t="shared" si="65"/>
        <v>83.399999999999991</v>
      </c>
      <c r="L190" s="4">
        <v>38</v>
      </c>
      <c r="M190" s="7">
        <f t="shared" si="66"/>
        <v>1.0873381294964028</v>
      </c>
      <c r="N190" s="6"/>
    </row>
    <row r="191" spans="1:14" x14ac:dyDescent="0.25">
      <c r="A191" s="4">
        <v>1400</v>
      </c>
      <c r="B191" s="5">
        <f t="shared" si="59"/>
        <v>1522</v>
      </c>
      <c r="C191" s="5">
        <f t="shared" si="60"/>
        <v>445.63384065730696</v>
      </c>
      <c r="D191" s="34">
        <f t="shared" si="61"/>
        <v>457.63384065730696</v>
      </c>
      <c r="E191" s="34">
        <f t="shared" si="62"/>
        <v>1437.6991118430776</v>
      </c>
      <c r="F191" s="39">
        <f t="shared" si="63"/>
        <v>718.84955592153881</v>
      </c>
      <c r="G191" s="46">
        <f t="shared" si="58"/>
        <v>1.06</v>
      </c>
      <c r="H191" s="5">
        <f t="shared" si="64"/>
        <v>122</v>
      </c>
      <c r="I191" s="4"/>
      <c r="J191" s="4">
        <v>0.06</v>
      </c>
      <c r="K191" s="5">
        <f t="shared" si="65"/>
        <v>84</v>
      </c>
      <c r="L191" s="4">
        <v>38</v>
      </c>
      <c r="M191" s="7">
        <f t="shared" si="66"/>
        <v>1.0871428571428572</v>
      </c>
      <c r="N191" s="6"/>
    </row>
    <row r="192" spans="1:14" x14ac:dyDescent="0.25">
      <c r="A192" s="4">
        <v>1410</v>
      </c>
      <c r="B192" s="5">
        <f t="shared" si="59"/>
        <v>1532.6</v>
      </c>
      <c r="C192" s="5">
        <f t="shared" si="60"/>
        <v>448.81693951914485</v>
      </c>
      <c r="D192" s="34">
        <f t="shared" si="61"/>
        <v>460.81693951914485</v>
      </c>
      <c r="E192" s="34">
        <f t="shared" si="62"/>
        <v>1447.6991118430774</v>
      </c>
      <c r="F192" s="39">
        <f t="shared" si="63"/>
        <v>723.84955592153869</v>
      </c>
      <c r="G192" s="46">
        <f t="shared" si="58"/>
        <v>1.06</v>
      </c>
      <c r="H192" s="5">
        <f t="shared" si="64"/>
        <v>122.6</v>
      </c>
      <c r="I192" s="4"/>
      <c r="J192" s="4">
        <v>0.06</v>
      </c>
      <c r="K192" s="5">
        <f t="shared" si="65"/>
        <v>84.6</v>
      </c>
      <c r="L192" s="4">
        <v>38</v>
      </c>
      <c r="M192" s="7">
        <f t="shared" si="66"/>
        <v>1.0869503546099291</v>
      </c>
      <c r="N192" s="6"/>
    </row>
    <row r="193" spans="1:14" x14ac:dyDescent="0.25">
      <c r="A193" s="4">
        <v>1420</v>
      </c>
      <c r="B193" s="5">
        <f t="shared" si="59"/>
        <v>1543.2</v>
      </c>
      <c r="C193" s="5">
        <f t="shared" si="60"/>
        <v>452.00003838098274</v>
      </c>
      <c r="D193" s="34">
        <f t="shared" si="61"/>
        <v>464.00003838098274</v>
      </c>
      <c r="E193" s="34">
        <f t="shared" si="62"/>
        <v>1457.6991118430774</v>
      </c>
      <c r="F193" s="39">
        <f t="shared" si="63"/>
        <v>728.84955592153869</v>
      </c>
      <c r="G193" s="46">
        <f t="shared" si="58"/>
        <v>1.06</v>
      </c>
      <c r="H193" s="5">
        <f t="shared" si="64"/>
        <v>123.2</v>
      </c>
      <c r="I193" s="4"/>
      <c r="J193" s="4">
        <v>0.06</v>
      </c>
      <c r="K193" s="5">
        <f t="shared" si="65"/>
        <v>85.2</v>
      </c>
      <c r="L193" s="4">
        <v>38</v>
      </c>
      <c r="M193" s="7">
        <f t="shared" si="66"/>
        <v>1.0867605633802817</v>
      </c>
      <c r="N193" s="6"/>
    </row>
    <row r="194" spans="1:14" x14ac:dyDescent="0.25">
      <c r="A194" s="4">
        <v>1430</v>
      </c>
      <c r="B194" s="5">
        <f t="shared" si="59"/>
        <v>1553.8</v>
      </c>
      <c r="C194" s="5">
        <f t="shared" si="60"/>
        <v>455.18313724282069</v>
      </c>
      <c r="D194" s="34">
        <f t="shared" si="61"/>
        <v>467.18313724282069</v>
      </c>
      <c r="E194" s="34">
        <f t="shared" si="62"/>
        <v>1467.6991118430776</v>
      </c>
      <c r="F194" s="39">
        <f t="shared" si="63"/>
        <v>733.84955592153881</v>
      </c>
      <c r="G194" s="46">
        <f t="shared" si="58"/>
        <v>1.06</v>
      </c>
      <c r="H194" s="5">
        <f t="shared" si="64"/>
        <v>123.8</v>
      </c>
      <c r="I194" s="4"/>
      <c r="J194" s="4">
        <v>0.06</v>
      </c>
      <c r="K194" s="5">
        <f t="shared" si="65"/>
        <v>85.8</v>
      </c>
      <c r="L194" s="4">
        <v>38</v>
      </c>
      <c r="M194" s="7">
        <f t="shared" si="66"/>
        <v>1.0865734265734266</v>
      </c>
      <c r="N194" s="6"/>
    </row>
    <row r="195" spans="1:14" x14ac:dyDescent="0.25">
      <c r="A195" s="4">
        <v>1440</v>
      </c>
      <c r="B195" s="5">
        <f t="shared" si="59"/>
        <v>1564.4</v>
      </c>
      <c r="C195" s="5">
        <f t="shared" si="60"/>
        <v>458.36623610465858</v>
      </c>
      <c r="D195" s="34">
        <f t="shared" si="61"/>
        <v>470.36623610465858</v>
      </c>
      <c r="E195" s="34">
        <f t="shared" si="62"/>
        <v>1477.6991118430776</v>
      </c>
      <c r="F195" s="39">
        <f t="shared" si="63"/>
        <v>738.84955592153881</v>
      </c>
      <c r="G195" s="46">
        <f t="shared" si="58"/>
        <v>1.06</v>
      </c>
      <c r="H195" s="5">
        <f t="shared" si="64"/>
        <v>124.39999999999999</v>
      </c>
      <c r="I195" s="4"/>
      <c r="J195" s="4">
        <v>0.06</v>
      </c>
      <c r="K195" s="5">
        <f t="shared" si="65"/>
        <v>86.399999999999991</v>
      </c>
      <c r="L195" s="4">
        <v>38</v>
      </c>
      <c r="M195" s="7">
        <f t="shared" si="66"/>
        <v>1.0863888888888888</v>
      </c>
      <c r="N195" s="6"/>
    </row>
    <row r="196" spans="1:14" x14ac:dyDescent="0.25">
      <c r="A196" s="4">
        <v>1450</v>
      </c>
      <c r="B196" s="5">
        <f t="shared" si="59"/>
        <v>1575</v>
      </c>
      <c r="C196" s="5">
        <f t="shared" si="60"/>
        <v>461.54933496649647</v>
      </c>
      <c r="D196" s="34">
        <f t="shared" si="61"/>
        <v>473.54933496649647</v>
      </c>
      <c r="E196" s="34">
        <f t="shared" si="62"/>
        <v>1487.6991118430774</v>
      </c>
      <c r="F196" s="39">
        <f t="shared" si="63"/>
        <v>743.84955592153869</v>
      </c>
      <c r="G196" s="46">
        <f t="shared" si="58"/>
        <v>1.06</v>
      </c>
      <c r="H196" s="5">
        <f t="shared" si="64"/>
        <v>125</v>
      </c>
      <c r="I196" s="4"/>
      <c r="J196" s="4">
        <v>0.06</v>
      </c>
      <c r="K196" s="5">
        <f t="shared" si="65"/>
        <v>87</v>
      </c>
      <c r="L196" s="4">
        <v>38</v>
      </c>
      <c r="M196" s="7">
        <f t="shared" si="66"/>
        <v>1.0862068965517242</v>
      </c>
      <c r="N196" s="6"/>
    </row>
    <row r="197" spans="1:14" x14ac:dyDescent="0.25">
      <c r="A197" s="4">
        <v>1460</v>
      </c>
      <c r="B197" s="5">
        <f t="shared" si="59"/>
        <v>1585.6</v>
      </c>
      <c r="C197" s="5">
        <f t="shared" si="60"/>
        <v>464.73243382833442</v>
      </c>
      <c r="D197" s="34">
        <f t="shared" si="61"/>
        <v>476.73243382833442</v>
      </c>
      <c r="E197" s="34">
        <f t="shared" si="62"/>
        <v>1497.6991118430776</v>
      </c>
      <c r="F197" s="39">
        <f t="shared" si="63"/>
        <v>748.84955592153881</v>
      </c>
      <c r="G197" s="46">
        <f t="shared" si="58"/>
        <v>1.06</v>
      </c>
      <c r="H197" s="5">
        <f t="shared" si="64"/>
        <v>125.6</v>
      </c>
      <c r="I197" s="4"/>
      <c r="J197" s="4">
        <v>0.06</v>
      </c>
      <c r="K197" s="5">
        <f t="shared" si="65"/>
        <v>87.6</v>
      </c>
      <c r="L197" s="4">
        <v>38</v>
      </c>
      <c r="M197" s="7">
        <f t="shared" si="66"/>
        <v>1.0860273972602739</v>
      </c>
      <c r="N197" s="6"/>
    </row>
    <row r="198" spans="1:14" x14ac:dyDescent="0.25">
      <c r="A198" s="4">
        <v>1470</v>
      </c>
      <c r="B198" s="5">
        <f t="shared" si="59"/>
        <v>1596.2</v>
      </c>
      <c r="C198" s="5">
        <f t="shared" si="60"/>
        <v>467.91553269017231</v>
      </c>
      <c r="D198" s="34">
        <f t="shared" si="61"/>
        <v>479.91553269017231</v>
      </c>
      <c r="E198" s="34">
        <f t="shared" si="62"/>
        <v>1507.6991118430776</v>
      </c>
      <c r="F198" s="39">
        <f t="shared" si="63"/>
        <v>753.84955592153881</v>
      </c>
      <c r="G198" s="46">
        <f t="shared" ref="G198:G261" si="67">ROUNDUP(B198/E198,2)</f>
        <v>1.06</v>
      </c>
      <c r="H198" s="5">
        <f t="shared" si="64"/>
        <v>126.2</v>
      </c>
      <c r="I198" s="4"/>
      <c r="J198" s="4">
        <v>0.06</v>
      </c>
      <c r="K198" s="5">
        <f t="shared" si="65"/>
        <v>88.2</v>
      </c>
      <c r="L198" s="4">
        <v>38</v>
      </c>
      <c r="M198" s="7">
        <f t="shared" si="66"/>
        <v>1.0858503401360544</v>
      </c>
      <c r="N198" s="6"/>
    </row>
    <row r="199" spans="1:14" x14ac:dyDescent="0.25">
      <c r="A199" s="4">
        <v>1480</v>
      </c>
      <c r="B199" s="5">
        <f t="shared" si="59"/>
        <v>1606.8</v>
      </c>
      <c r="C199" s="5">
        <f t="shared" si="60"/>
        <v>471.0986315520102</v>
      </c>
      <c r="D199" s="34">
        <f t="shared" si="61"/>
        <v>483.0986315520102</v>
      </c>
      <c r="E199" s="34">
        <f t="shared" si="62"/>
        <v>1517.6991118430774</v>
      </c>
      <c r="F199" s="39">
        <f t="shared" si="63"/>
        <v>758.84955592153869</v>
      </c>
      <c r="G199" s="46">
        <f t="shared" si="67"/>
        <v>1.06</v>
      </c>
      <c r="H199" s="5">
        <f t="shared" si="64"/>
        <v>126.8</v>
      </c>
      <c r="I199" s="4"/>
      <c r="J199" s="4">
        <v>0.06</v>
      </c>
      <c r="K199" s="5">
        <f t="shared" si="65"/>
        <v>88.8</v>
      </c>
      <c r="L199" s="4">
        <v>38</v>
      </c>
      <c r="M199" s="7">
        <f t="shared" si="66"/>
        <v>1.0856756756756756</v>
      </c>
      <c r="N199" s="6"/>
    </row>
    <row r="200" spans="1:14" x14ac:dyDescent="0.25">
      <c r="A200" s="4">
        <v>1490</v>
      </c>
      <c r="B200" s="5">
        <f t="shared" si="59"/>
        <v>1617.4</v>
      </c>
      <c r="C200" s="5">
        <f t="shared" si="60"/>
        <v>474.28173041384809</v>
      </c>
      <c r="D200" s="34">
        <f t="shared" si="61"/>
        <v>486.28173041384809</v>
      </c>
      <c r="E200" s="34">
        <f t="shared" si="62"/>
        <v>1527.6991118430774</v>
      </c>
      <c r="F200" s="39">
        <f t="shared" si="63"/>
        <v>763.84955592153869</v>
      </c>
      <c r="G200" s="46">
        <f t="shared" si="67"/>
        <v>1.06</v>
      </c>
      <c r="H200" s="5">
        <f t="shared" si="64"/>
        <v>127.39999999999999</v>
      </c>
      <c r="I200" s="4"/>
      <c r="J200" s="4">
        <v>0.06</v>
      </c>
      <c r="K200" s="5">
        <f t="shared" si="65"/>
        <v>89.399999999999991</v>
      </c>
      <c r="L200" s="4">
        <v>38</v>
      </c>
      <c r="M200" s="7">
        <f t="shared" si="66"/>
        <v>1.085503355704698</v>
      </c>
      <c r="N200" s="6"/>
    </row>
    <row r="201" spans="1:14" x14ac:dyDescent="0.25">
      <c r="A201" s="4">
        <v>1500</v>
      </c>
      <c r="B201" s="5">
        <f t="shared" si="59"/>
        <v>1628</v>
      </c>
      <c r="C201" s="5">
        <f t="shared" si="60"/>
        <v>477.46482927568604</v>
      </c>
      <c r="D201" s="34">
        <f t="shared" si="61"/>
        <v>489.46482927568604</v>
      </c>
      <c r="E201" s="34">
        <f t="shared" si="62"/>
        <v>1537.6991118430776</v>
      </c>
      <c r="F201" s="39">
        <f t="shared" si="63"/>
        <v>768.84955592153881</v>
      </c>
      <c r="G201" s="46">
        <f t="shared" si="67"/>
        <v>1.06</v>
      </c>
      <c r="H201" s="5">
        <f t="shared" si="64"/>
        <v>128</v>
      </c>
      <c r="I201" s="4"/>
      <c r="J201" s="4">
        <v>0.06</v>
      </c>
      <c r="K201" s="5">
        <f t="shared" si="65"/>
        <v>90</v>
      </c>
      <c r="L201" s="4">
        <v>38</v>
      </c>
      <c r="M201" s="7">
        <f t="shared" si="66"/>
        <v>1.0853333333333333</v>
      </c>
      <c r="N201" s="6"/>
    </row>
    <row r="202" spans="1:14" x14ac:dyDescent="0.25">
      <c r="A202" s="4">
        <v>1510</v>
      </c>
      <c r="B202" s="5">
        <f t="shared" si="59"/>
        <v>1638.6</v>
      </c>
      <c r="C202" s="5">
        <f t="shared" si="60"/>
        <v>480.64792813752393</v>
      </c>
      <c r="D202" s="34">
        <f t="shared" si="61"/>
        <v>492.64792813752393</v>
      </c>
      <c r="E202" s="34">
        <f t="shared" si="62"/>
        <v>1547.6991118430776</v>
      </c>
      <c r="F202" s="39">
        <f t="shared" si="63"/>
        <v>773.84955592153881</v>
      </c>
      <c r="G202" s="46">
        <f t="shared" si="67"/>
        <v>1.06</v>
      </c>
      <c r="H202" s="5">
        <f t="shared" si="64"/>
        <v>128.6</v>
      </c>
      <c r="I202" s="4"/>
      <c r="J202" s="4">
        <v>0.06</v>
      </c>
      <c r="K202" s="5">
        <f t="shared" si="65"/>
        <v>90.6</v>
      </c>
      <c r="L202" s="4">
        <v>38</v>
      </c>
      <c r="M202" s="7">
        <f t="shared" si="66"/>
        <v>1.0851655629139072</v>
      </c>
      <c r="N202" s="6"/>
    </row>
    <row r="203" spans="1:14" x14ac:dyDescent="0.25">
      <c r="A203" s="4">
        <v>1520</v>
      </c>
      <c r="B203" s="5">
        <f t="shared" si="59"/>
        <v>1649.2</v>
      </c>
      <c r="C203" s="5">
        <f t="shared" si="60"/>
        <v>483.83102699936182</v>
      </c>
      <c r="D203" s="34">
        <f t="shared" si="61"/>
        <v>495.83102699936182</v>
      </c>
      <c r="E203" s="34">
        <f t="shared" si="62"/>
        <v>1557.6991118430774</v>
      </c>
      <c r="F203" s="39">
        <f t="shared" si="63"/>
        <v>778.84955592153869</v>
      </c>
      <c r="G203" s="46">
        <f t="shared" si="67"/>
        <v>1.06</v>
      </c>
      <c r="H203" s="5">
        <f t="shared" si="64"/>
        <v>129.19999999999999</v>
      </c>
      <c r="I203" s="4"/>
      <c r="J203" s="4">
        <v>0.06</v>
      </c>
      <c r="K203" s="5">
        <f t="shared" si="65"/>
        <v>91.2</v>
      </c>
      <c r="L203" s="4">
        <v>38</v>
      </c>
      <c r="M203" s="7">
        <f t="shared" si="66"/>
        <v>1.085</v>
      </c>
      <c r="N203" s="6"/>
    </row>
    <row r="204" spans="1:14" x14ac:dyDescent="0.25">
      <c r="A204" s="4">
        <v>1530</v>
      </c>
      <c r="B204" s="5">
        <f t="shared" si="59"/>
        <v>1659.8</v>
      </c>
      <c r="C204" s="5">
        <f t="shared" si="60"/>
        <v>487.01412586119977</v>
      </c>
      <c r="D204" s="34">
        <f t="shared" si="61"/>
        <v>499.01412586119977</v>
      </c>
      <c r="E204" s="34">
        <f t="shared" si="62"/>
        <v>1567.6991118430776</v>
      </c>
      <c r="F204" s="39">
        <f t="shared" si="63"/>
        <v>783.84955592153881</v>
      </c>
      <c r="G204" s="46">
        <f t="shared" si="67"/>
        <v>1.06</v>
      </c>
      <c r="H204" s="5">
        <f t="shared" si="64"/>
        <v>129.80000000000001</v>
      </c>
      <c r="I204" s="4"/>
      <c r="J204" s="4">
        <v>0.06</v>
      </c>
      <c r="K204" s="5">
        <f t="shared" si="65"/>
        <v>91.8</v>
      </c>
      <c r="L204" s="4">
        <v>38</v>
      </c>
      <c r="M204" s="7">
        <f t="shared" si="66"/>
        <v>1.0848366013071895</v>
      </c>
      <c r="N204" s="6"/>
    </row>
    <row r="205" spans="1:14" x14ac:dyDescent="0.25">
      <c r="A205" s="4">
        <v>1540</v>
      </c>
      <c r="B205" s="5">
        <f t="shared" si="59"/>
        <v>1670.4</v>
      </c>
      <c r="C205" s="5">
        <f t="shared" si="60"/>
        <v>490.19722472303766</v>
      </c>
      <c r="D205" s="34">
        <f t="shared" si="61"/>
        <v>502.19722472303766</v>
      </c>
      <c r="E205" s="34">
        <f t="shared" si="62"/>
        <v>1577.6991118430776</v>
      </c>
      <c r="F205" s="39">
        <f t="shared" si="63"/>
        <v>788.84955592153881</v>
      </c>
      <c r="G205" s="46">
        <f t="shared" si="67"/>
        <v>1.06</v>
      </c>
      <c r="H205" s="5">
        <f t="shared" si="64"/>
        <v>130.39999999999998</v>
      </c>
      <c r="I205" s="4"/>
      <c r="J205" s="4">
        <v>0.06</v>
      </c>
      <c r="K205" s="5">
        <f t="shared" si="65"/>
        <v>92.399999999999991</v>
      </c>
      <c r="L205" s="4">
        <v>38</v>
      </c>
      <c r="M205" s="7">
        <f t="shared" si="66"/>
        <v>1.0846753246753247</v>
      </c>
      <c r="N205" s="6"/>
    </row>
    <row r="206" spans="1:14" x14ac:dyDescent="0.25">
      <c r="A206" s="4">
        <v>1550</v>
      </c>
      <c r="B206" s="5">
        <f t="shared" si="59"/>
        <v>1681</v>
      </c>
      <c r="C206" s="5">
        <f t="shared" si="60"/>
        <v>493.38032358487555</v>
      </c>
      <c r="D206" s="34">
        <f t="shared" si="61"/>
        <v>505.38032358487555</v>
      </c>
      <c r="E206" s="34">
        <f t="shared" si="62"/>
        <v>1587.6991118430774</v>
      </c>
      <c r="F206" s="39">
        <f t="shared" si="63"/>
        <v>793.84955592153869</v>
      </c>
      <c r="G206" s="46">
        <f t="shared" si="67"/>
        <v>1.06</v>
      </c>
      <c r="H206" s="5">
        <f t="shared" si="64"/>
        <v>131</v>
      </c>
      <c r="I206" s="4"/>
      <c r="J206" s="4">
        <v>0.06</v>
      </c>
      <c r="K206" s="5">
        <f t="shared" si="65"/>
        <v>93</v>
      </c>
      <c r="L206" s="4">
        <v>38</v>
      </c>
      <c r="M206" s="7">
        <f t="shared" si="66"/>
        <v>1.084516129032258</v>
      </c>
      <c r="N206" s="6"/>
    </row>
    <row r="207" spans="1:14" x14ac:dyDescent="0.25">
      <c r="A207" s="4">
        <v>1560</v>
      </c>
      <c r="B207" s="5">
        <f t="shared" si="59"/>
        <v>1691.6</v>
      </c>
      <c r="C207" s="5">
        <f t="shared" si="60"/>
        <v>496.56342244671345</v>
      </c>
      <c r="D207" s="34">
        <f t="shared" si="61"/>
        <v>508.56342244671345</v>
      </c>
      <c r="E207" s="34">
        <f t="shared" si="62"/>
        <v>1597.6991118430774</v>
      </c>
      <c r="F207" s="39">
        <f t="shared" si="63"/>
        <v>798.84955592153869</v>
      </c>
      <c r="G207" s="46">
        <f t="shared" si="67"/>
        <v>1.06</v>
      </c>
      <c r="H207" s="5">
        <f t="shared" si="64"/>
        <v>131.6</v>
      </c>
      <c r="I207" s="4"/>
      <c r="J207" s="4">
        <v>0.06</v>
      </c>
      <c r="K207" s="5">
        <f t="shared" si="65"/>
        <v>93.6</v>
      </c>
      <c r="L207" s="4">
        <v>38</v>
      </c>
      <c r="M207" s="7">
        <f t="shared" si="66"/>
        <v>1.0843589743589743</v>
      </c>
      <c r="N207" s="6"/>
    </row>
    <row r="208" spans="1:14" x14ac:dyDescent="0.25">
      <c r="A208" s="4">
        <v>1570</v>
      </c>
      <c r="B208" s="5">
        <f t="shared" si="59"/>
        <v>1702.2</v>
      </c>
      <c r="C208" s="5">
        <f t="shared" si="60"/>
        <v>499.74652130855139</v>
      </c>
      <c r="D208" s="34">
        <f t="shared" si="61"/>
        <v>511.74652130855139</v>
      </c>
      <c r="E208" s="34">
        <f t="shared" si="62"/>
        <v>1607.6991118430776</v>
      </c>
      <c r="F208" s="39">
        <f t="shared" si="63"/>
        <v>803.84955592153881</v>
      </c>
      <c r="G208" s="46">
        <f t="shared" si="67"/>
        <v>1.06</v>
      </c>
      <c r="H208" s="5">
        <f t="shared" si="64"/>
        <v>132.19999999999999</v>
      </c>
      <c r="I208" s="4"/>
      <c r="J208" s="4">
        <v>0.06</v>
      </c>
      <c r="K208" s="5">
        <f t="shared" si="65"/>
        <v>94.2</v>
      </c>
      <c r="L208" s="4">
        <v>38</v>
      </c>
      <c r="M208" s="7">
        <f t="shared" si="66"/>
        <v>1.084203821656051</v>
      </c>
      <c r="N208" s="6"/>
    </row>
    <row r="209" spans="1:14" x14ac:dyDescent="0.25">
      <c r="A209" s="4">
        <v>1580</v>
      </c>
      <c r="B209" s="5">
        <f t="shared" si="59"/>
        <v>1712.8</v>
      </c>
      <c r="C209" s="5">
        <f t="shared" si="60"/>
        <v>502.92962017038928</v>
      </c>
      <c r="D209" s="34">
        <f t="shared" si="61"/>
        <v>514.92962017038928</v>
      </c>
      <c r="E209" s="34">
        <f t="shared" si="62"/>
        <v>1617.6991118430776</v>
      </c>
      <c r="F209" s="39">
        <f t="shared" si="63"/>
        <v>808.84955592153881</v>
      </c>
      <c r="G209" s="46">
        <f t="shared" si="67"/>
        <v>1.06</v>
      </c>
      <c r="H209" s="5">
        <f t="shared" si="64"/>
        <v>132.80000000000001</v>
      </c>
      <c r="I209" s="4"/>
      <c r="J209" s="4">
        <v>0.06</v>
      </c>
      <c r="K209" s="5">
        <f t="shared" si="65"/>
        <v>94.8</v>
      </c>
      <c r="L209" s="4">
        <v>38</v>
      </c>
      <c r="M209" s="7">
        <f t="shared" si="66"/>
        <v>1.0840506329113924</v>
      </c>
      <c r="N209" s="6"/>
    </row>
    <row r="210" spans="1:14" x14ac:dyDescent="0.25">
      <c r="A210" s="4">
        <v>1590</v>
      </c>
      <c r="B210" s="5">
        <f t="shared" si="59"/>
        <v>1723.4</v>
      </c>
      <c r="C210" s="5">
        <f t="shared" si="60"/>
        <v>506.11271903222718</v>
      </c>
      <c r="D210" s="34">
        <f t="shared" si="61"/>
        <v>518.11271903222723</v>
      </c>
      <c r="E210" s="34">
        <f t="shared" si="62"/>
        <v>1627.6991118430776</v>
      </c>
      <c r="F210" s="39">
        <f t="shared" si="63"/>
        <v>813.84955592153881</v>
      </c>
      <c r="G210" s="46">
        <f t="shared" si="67"/>
        <v>1.06</v>
      </c>
      <c r="H210" s="5">
        <f t="shared" si="64"/>
        <v>133.39999999999998</v>
      </c>
      <c r="I210" s="4"/>
      <c r="J210" s="4">
        <v>0.06</v>
      </c>
      <c r="K210" s="5">
        <f t="shared" si="65"/>
        <v>95.399999999999991</v>
      </c>
      <c r="L210" s="4">
        <v>38</v>
      </c>
      <c r="M210" s="7">
        <f t="shared" si="66"/>
        <v>1.0838993710691824</v>
      </c>
      <c r="N210" s="6"/>
    </row>
    <row r="211" spans="1:14" x14ac:dyDescent="0.25">
      <c r="A211" s="4">
        <v>1600</v>
      </c>
      <c r="B211" s="5">
        <f t="shared" si="59"/>
        <v>1734</v>
      </c>
      <c r="C211" s="5">
        <f t="shared" si="60"/>
        <v>509.29581789406507</v>
      </c>
      <c r="D211" s="34">
        <f t="shared" si="61"/>
        <v>521.29581789406507</v>
      </c>
      <c r="E211" s="34">
        <f t="shared" si="62"/>
        <v>1637.6991118430774</v>
      </c>
      <c r="F211" s="39">
        <f t="shared" si="63"/>
        <v>818.84955592153869</v>
      </c>
      <c r="G211" s="46">
        <f t="shared" si="67"/>
        <v>1.06</v>
      </c>
      <c r="H211" s="5">
        <f t="shared" si="64"/>
        <v>134</v>
      </c>
      <c r="I211" s="4"/>
      <c r="J211" s="4">
        <v>0.06</v>
      </c>
      <c r="K211" s="5">
        <f t="shared" si="65"/>
        <v>96</v>
      </c>
      <c r="L211" s="4">
        <v>38</v>
      </c>
      <c r="M211" s="7">
        <f t="shared" si="66"/>
        <v>1.08375</v>
      </c>
      <c r="N211" s="6"/>
    </row>
    <row r="212" spans="1:14" x14ac:dyDescent="0.25">
      <c r="A212" s="4">
        <v>1610</v>
      </c>
      <c r="B212" s="5">
        <f t="shared" si="59"/>
        <v>1744.6</v>
      </c>
      <c r="C212" s="5">
        <f t="shared" si="60"/>
        <v>512.47891675590301</v>
      </c>
      <c r="D212" s="34">
        <f t="shared" si="61"/>
        <v>524.47891675590301</v>
      </c>
      <c r="E212" s="34">
        <f t="shared" si="62"/>
        <v>1647.6991118430776</v>
      </c>
      <c r="F212" s="39">
        <f t="shared" si="63"/>
        <v>823.84955592153881</v>
      </c>
      <c r="G212" s="46">
        <f t="shared" si="67"/>
        <v>1.06</v>
      </c>
      <c r="H212" s="5">
        <f t="shared" si="64"/>
        <v>134.6</v>
      </c>
      <c r="I212" s="4"/>
      <c r="J212" s="4">
        <v>0.06</v>
      </c>
      <c r="K212" s="5">
        <f t="shared" si="65"/>
        <v>96.6</v>
      </c>
      <c r="L212" s="4">
        <v>38</v>
      </c>
      <c r="M212" s="7">
        <f t="shared" si="66"/>
        <v>1.0836024844720495</v>
      </c>
      <c r="N212" s="6"/>
    </row>
    <row r="213" spans="1:14" x14ac:dyDescent="0.25">
      <c r="A213" s="4">
        <v>1620</v>
      </c>
      <c r="B213" s="5">
        <f t="shared" si="59"/>
        <v>1755.2</v>
      </c>
      <c r="C213" s="5">
        <f t="shared" si="60"/>
        <v>515.66201561774096</v>
      </c>
      <c r="D213" s="34">
        <f t="shared" si="61"/>
        <v>527.66201561774096</v>
      </c>
      <c r="E213" s="34">
        <f t="shared" si="62"/>
        <v>1657.6991118430776</v>
      </c>
      <c r="F213" s="39">
        <f t="shared" si="63"/>
        <v>828.84955592153881</v>
      </c>
      <c r="G213" s="46">
        <f t="shared" si="67"/>
        <v>1.06</v>
      </c>
      <c r="H213" s="5">
        <f t="shared" si="64"/>
        <v>135.19999999999999</v>
      </c>
      <c r="I213" s="4"/>
      <c r="J213" s="4">
        <v>0.06</v>
      </c>
      <c r="K213" s="5">
        <f t="shared" si="65"/>
        <v>97.2</v>
      </c>
      <c r="L213" s="4">
        <v>38</v>
      </c>
      <c r="M213" s="7">
        <f t="shared" si="66"/>
        <v>1.0834567901234569</v>
      </c>
      <c r="N213" s="6"/>
    </row>
    <row r="214" spans="1:14" x14ac:dyDescent="0.25">
      <c r="A214" s="4">
        <v>1630</v>
      </c>
      <c r="B214" s="5">
        <f t="shared" si="59"/>
        <v>1765.8</v>
      </c>
      <c r="C214" s="5">
        <f t="shared" si="60"/>
        <v>518.8451144795788</v>
      </c>
      <c r="D214" s="34">
        <f t="shared" si="61"/>
        <v>530.8451144795788</v>
      </c>
      <c r="E214" s="34">
        <f t="shared" si="62"/>
        <v>1667.6991118430774</v>
      </c>
      <c r="F214" s="39">
        <f t="shared" si="63"/>
        <v>833.84955592153869</v>
      </c>
      <c r="G214" s="46">
        <f t="shared" si="67"/>
        <v>1.06</v>
      </c>
      <c r="H214" s="5">
        <f t="shared" si="64"/>
        <v>135.80000000000001</v>
      </c>
      <c r="I214" s="4"/>
      <c r="J214" s="4">
        <v>0.06</v>
      </c>
      <c r="K214" s="5">
        <f t="shared" si="65"/>
        <v>97.8</v>
      </c>
      <c r="L214" s="4">
        <v>38</v>
      </c>
      <c r="M214" s="7">
        <f t="shared" si="66"/>
        <v>1.0833128834355827</v>
      </c>
      <c r="N214" s="6"/>
    </row>
    <row r="215" spans="1:14" x14ac:dyDescent="0.25">
      <c r="A215" s="4">
        <v>1640</v>
      </c>
      <c r="B215" s="5">
        <f t="shared" si="59"/>
        <v>1776.4</v>
      </c>
      <c r="C215" s="5">
        <f t="shared" si="60"/>
        <v>522.02821334141674</v>
      </c>
      <c r="D215" s="34">
        <f t="shared" si="61"/>
        <v>534.02821334141674</v>
      </c>
      <c r="E215" s="34">
        <f t="shared" si="62"/>
        <v>1677.6991118430776</v>
      </c>
      <c r="F215" s="39">
        <f t="shared" si="63"/>
        <v>838.84955592153881</v>
      </c>
      <c r="G215" s="46">
        <f t="shared" si="67"/>
        <v>1.06</v>
      </c>
      <c r="H215" s="5">
        <f t="shared" si="64"/>
        <v>136.39999999999998</v>
      </c>
      <c r="I215" s="4"/>
      <c r="J215" s="4">
        <v>0.06</v>
      </c>
      <c r="K215" s="5">
        <f t="shared" si="65"/>
        <v>98.399999999999991</v>
      </c>
      <c r="L215" s="4">
        <v>38</v>
      </c>
      <c r="M215" s="7">
        <f t="shared" si="66"/>
        <v>1.0831707317073171</v>
      </c>
      <c r="N215" s="6"/>
    </row>
    <row r="216" spans="1:14" x14ac:dyDescent="0.25">
      <c r="A216" s="4">
        <v>1650</v>
      </c>
      <c r="B216" s="5">
        <f t="shared" si="59"/>
        <v>1787</v>
      </c>
      <c r="C216" s="5">
        <f t="shared" si="60"/>
        <v>525.21131220325458</v>
      </c>
      <c r="D216" s="34">
        <f t="shared" si="61"/>
        <v>537.21131220325458</v>
      </c>
      <c r="E216" s="34">
        <f t="shared" si="62"/>
        <v>1687.6991118430774</v>
      </c>
      <c r="F216" s="39">
        <f t="shared" si="63"/>
        <v>843.84955592153869</v>
      </c>
      <c r="G216" s="46">
        <f t="shared" si="67"/>
        <v>1.06</v>
      </c>
      <c r="H216" s="5">
        <f t="shared" si="64"/>
        <v>137</v>
      </c>
      <c r="I216" s="4"/>
      <c r="J216" s="4">
        <v>0.06</v>
      </c>
      <c r="K216" s="5">
        <f t="shared" si="65"/>
        <v>99</v>
      </c>
      <c r="L216" s="4">
        <v>38</v>
      </c>
      <c r="M216" s="7">
        <f t="shared" si="66"/>
        <v>1.083030303030303</v>
      </c>
      <c r="N216" s="6"/>
    </row>
    <row r="217" spans="1:14" x14ac:dyDescent="0.25">
      <c r="A217" s="4">
        <v>1660</v>
      </c>
      <c r="B217" s="5">
        <f t="shared" si="59"/>
        <v>1797.6</v>
      </c>
      <c r="C217" s="5">
        <f t="shared" si="60"/>
        <v>528.39441106509253</v>
      </c>
      <c r="D217" s="34">
        <f t="shared" si="61"/>
        <v>540.39441106509253</v>
      </c>
      <c r="E217" s="34">
        <f t="shared" si="62"/>
        <v>1697.6991118430774</v>
      </c>
      <c r="F217" s="39">
        <f t="shared" si="63"/>
        <v>848.84955592153869</v>
      </c>
      <c r="G217" s="46">
        <f t="shared" si="67"/>
        <v>1.06</v>
      </c>
      <c r="H217" s="5">
        <f t="shared" si="64"/>
        <v>137.6</v>
      </c>
      <c r="I217" s="4"/>
      <c r="J217" s="4">
        <v>0.06</v>
      </c>
      <c r="K217" s="5">
        <f t="shared" si="65"/>
        <v>99.6</v>
      </c>
      <c r="L217" s="4">
        <v>38</v>
      </c>
      <c r="M217" s="7">
        <f t="shared" si="66"/>
        <v>1.0828915662650602</v>
      </c>
      <c r="N217" s="6"/>
    </row>
    <row r="218" spans="1:14" x14ac:dyDescent="0.25">
      <c r="A218" s="4">
        <v>1670</v>
      </c>
      <c r="B218" s="5">
        <f t="shared" si="59"/>
        <v>1808.2</v>
      </c>
      <c r="C218" s="5">
        <f t="shared" si="60"/>
        <v>531.57750992693047</v>
      </c>
      <c r="D218" s="34">
        <f t="shared" si="61"/>
        <v>543.57750992693047</v>
      </c>
      <c r="E218" s="34">
        <f t="shared" si="62"/>
        <v>1707.6991118430776</v>
      </c>
      <c r="F218" s="39">
        <f t="shared" si="63"/>
        <v>853.84955592153881</v>
      </c>
      <c r="G218" s="46">
        <f t="shared" si="67"/>
        <v>1.06</v>
      </c>
      <c r="H218" s="5">
        <f t="shared" si="64"/>
        <v>138.19999999999999</v>
      </c>
      <c r="I218" s="4"/>
      <c r="J218" s="4">
        <v>0.06</v>
      </c>
      <c r="K218" s="5">
        <f t="shared" si="65"/>
        <v>100.2</v>
      </c>
      <c r="L218" s="4">
        <v>38</v>
      </c>
      <c r="M218" s="7">
        <f t="shared" si="66"/>
        <v>1.0827544910179641</v>
      </c>
      <c r="N218" s="6"/>
    </row>
    <row r="219" spans="1:14" x14ac:dyDescent="0.25">
      <c r="A219" s="4">
        <v>1680</v>
      </c>
      <c r="B219" s="5">
        <f t="shared" si="59"/>
        <v>1818.8</v>
      </c>
      <c r="C219" s="5">
        <f t="shared" si="60"/>
        <v>534.76060878876831</v>
      </c>
      <c r="D219" s="34">
        <f t="shared" si="61"/>
        <v>546.76060878876831</v>
      </c>
      <c r="E219" s="34">
        <f t="shared" si="62"/>
        <v>1717.6991118430774</v>
      </c>
      <c r="F219" s="39">
        <f t="shared" si="63"/>
        <v>858.84955592153869</v>
      </c>
      <c r="G219" s="46">
        <f t="shared" si="67"/>
        <v>1.06</v>
      </c>
      <c r="H219" s="5">
        <f t="shared" si="64"/>
        <v>138.80000000000001</v>
      </c>
      <c r="I219" s="4"/>
      <c r="J219" s="4">
        <v>0.06</v>
      </c>
      <c r="K219" s="5">
        <f t="shared" si="65"/>
        <v>100.8</v>
      </c>
      <c r="L219" s="4">
        <v>38</v>
      </c>
      <c r="M219" s="7">
        <f t="shared" si="66"/>
        <v>1.0826190476190476</v>
      </c>
      <c r="N219" s="6"/>
    </row>
    <row r="220" spans="1:14" x14ac:dyDescent="0.25">
      <c r="A220" s="4">
        <v>1690</v>
      </c>
      <c r="B220" s="5">
        <f t="shared" si="59"/>
        <v>1829.4</v>
      </c>
      <c r="C220" s="5">
        <f t="shared" si="60"/>
        <v>537.94370765060626</v>
      </c>
      <c r="D220" s="34">
        <f t="shared" si="61"/>
        <v>549.94370765060626</v>
      </c>
      <c r="E220" s="34">
        <f t="shared" si="62"/>
        <v>1727.6991118430776</v>
      </c>
      <c r="F220" s="39">
        <f t="shared" si="63"/>
        <v>863.84955592153881</v>
      </c>
      <c r="G220" s="46">
        <f t="shared" si="67"/>
        <v>1.06</v>
      </c>
      <c r="H220" s="5">
        <f t="shared" si="64"/>
        <v>139.39999999999998</v>
      </c>
      <c r="I220" s="4"/>
      <c r="J220" s="4">
        <v>0.06</v>
      </c>
      <c r="K220" s="5">
        <f t="shared" si="65"/>
        <v>101.39999999999999</v>
      </c>
      <c r="L220" s="4">
        <v>38</v>
      </c>
      <c r="M220" s="7">
        <f t="shared" si="66"/>
        <v>1.0824852071005917</v>
      </c>
      <c r="N220" s="6"/>
    </row>
    <row r="221" spans="1:14" x14ac:dyDescent="0.25">
      <c r="A221" s="4">
        <v>1700</v>
      </c>
      <c r="B221" s="5">
        <f t="shared" si="59"/>
        <v>1840</v>
      </c>
      <c r="C221" s="5">
        <f t="shared" si="60"/>
        <v>541.1268065124442</v>
      </c>
      <c r="D221" s="34">
        <f t="shared" si="61"/>
        <v>553.1268065124442</v>
      </c>
      <c r="E221" s="34">
        <f t="shared" si="62"/>
        <v>1737.6991118430776</v>
      </c>
      <c r="F221" s="39">
        <f t="shared" si="63"/>
        <v>868.84955592153881</v>
      </c>
      <c r="G221" s="46">
        <f t="shared" si="67"/>
        <v>1.06</v>
      </c>
      <c r="H221" s="5">
        <f t="shared" si="64"/>
        <v>140</v>
      </c>
      <c r="I221" s="4"/>
      <c r="J221" s="4">
        <v>0.06</v>
      </c>
      <c r="K221" s="5">
        <f t="shared" si="65"/>
        <v>102</v>
      </c>
      <c r="L221" s="4">
        <v>38</v>
      </c>
      <c r="M221" s="7">
        <f t="shared" si="66"/>
        <v>1.0823529411764705</v>
      </c>
      <c r="N221" s="6"/>
    </row>
    <row r="222" spans="1:14" x14ac:dyDescent="0.25">
      <c r="A222" s="4">
        <v>1710</v>
      </c>
      <c r="B222" s="5">
        <f t="shared" si="59"/>
        <v>1850.6</v>
      </c>
      <c r="C222" s="5">
        <f t="shared" si="60"/>
        <v>544.30990537428204</v>
      </c>
      <c r="D222" s="34">
        <f t="shared" si="61"/>
        <v>556.30990537428204</v>
      </c>
      <c r="E222" s="34">
        <f t="shared" si="62"/>
        <v>1747.6991118430774</v>
      </c>
      <c r="F222" s="39">
        <f t="shared" si="63"/>
        <v>873.84955592153869</v>
      </c>
      <c r="G222" s="46">
        <f t="shared" si="67"/>
        <v>1.06</v>
      </c>
      <c r="H222" s="5">
        <f t="shared" si="64"/>
        <v>140.6</v>
      </c>
      <c r="I222" s="4"/>
      <c r="J222" s="4">
        <v>0.06</v>
      </c>
      <c r="K222" s="5">
        <f t="shared" si="65"/>
        <v>102.6</v>
      </c>
      <c r="L222" s="4">
        <v>38</v>
      </c>
      <c r="M222" s="7">
        <f t="shared" si="66"/>
        <v>1.0822222222222222</v>
      </c>
      <c r="N222" s="6"/>
    </row>
    <row r="223" spans="1:14" x14ac:dyDescent="0.25">
      <c r="A223" s="4">
        <v>1720</v>
      </c>
      <c r="B223" s="5">
        <f t="shared" si="59"/>
        <v>1861.2</v>
      </c>
      <c r="C223" s="5">
        <f t="shared" si="60"/>
        <v>547.49300423611999</v>
      </c>
      <c r="D223" s="34">
        <f t="shared" si="61"/>
        <v>559.49300423611999</v>
      </c>
      <c r="E223" s="34">
        <f t="shared" si="62"/>
        <v>1757.6991118430776</v>
      </c>
      <c r="F223" s="39">
        <f t="shared" si="63"/>
        <v>878.84955592153881</v>
      </c>
      <c r="G223" s="46">
        <f t="shared" si="67"/>
        <v>1.06</v>
      </c>
      <c r="H223" s="5">
        <f t="shared" si="64"/>
        <v>141.19999999999999</v>
      </c>
      <c r="I223" s="4"/>
      <c r="J223" s="4">
        <v>0.06</v>
      </c>
      <c r="K223" s="5">
        <f t="shared" si="65"/>
        <v>103.2</v>
      </c>
      <c r="L223" s="4">
        <v>38</v>
      </c>
      <c r="M223" s="7">
        <f t="shared" si="66"/>
        <v>1.0820930232558139</v>
      </c>
      <c r="N223" s="6"/>
    </row>
    <row r="224" spans="1:14" x14ac:dyDescent="0.25">
      <c r="A224" s="4">
        <v>1730</v>
      </c>
      <c r="B224" s="5">
        <f t="shared" si="59"/>
        <v>1871.8</v>
      </c>
      <c r="C224" s="5">
        <f t="shared" si="60"/>
        <v>550.67610309795793</v>
      </c>
      <c r="D224" s="34">
        <f t="shared" si="61"/>
        <v>562.67610309795793</v>
      </c>
      <c r="E224" s="34">
        <f t="shared" si="62"/>
        <v>1767.6991118430776</v>
      </c>
      <c r="F224" s="39">
        <f t="shared" si="63"/>
        <v>883.84955592153881</v>
      </c>
      <c r="G224" s="46">
        <f t="shared" si="67"/>
        <v>1.06</v>
      </c>
      <c r="H224" s="5">
        <f t="shared" si="64"/>
        <v>141.80000000000001</v>
      </c>
      <c r="I224" s="4"/>
      <c r="J224" s="4">
        <v>0.06</v>
      </c>
      <c r="K224" s="5">
        <f t="shared" si="65"/>
        <v>103.8</v>
      </c>
      <c r="L224" s="4">
        <v>38</v>
      </c>
      <c r="M224" s="7">
        <f t="shared" si="66"/>
        <v>1.0819653179190751</v>
      </c>
      <c r="N224" s="6"/>
    </row>
    <row r="225" spans="1:14" x14ac:dyDescent="0.25">
      <c r="A225" s="4">
        <v>1740</v>
      </c>
      <c r="B225" s="5">
        <f t="shared" si="59"/>
        <v>1882.4</v>
      </c>
      <c r="C225" s="5">
        <f t="shared" si="60"/>
        <v>553.85920195979577</v>
      </c>
      <c r="D225" s="34">
        <f t="shared" si="61"/>
        <v>565.85920195979577</v>
      </c>
      <c r="E225" s="34">
        <f t="shared" si="62"/>
        <v>1777.6991118430774</v>
      </c>
      <c r="F225" s="39">
        <f t="shared" si="63"/>
        <v>888.84955592153869</v>
      </c>
      <c r="G225" s="46">
        <f t="shared" si="67"/>
        <v>1.06</v>
      </c>
      <c r="H225" s="5">
        <f t="shared" si="64"/>
        <v>142.39999999999998</v>
      </c>
      <c r="I225" s="4"/>
      <c r="J225" s="4">
        <v>0.06</v>
      </c>
      <c r="K225" s="5">
        <f t="shared" si="65"/>
        <v>104.39999999999999</v>
      </c>
      <c r="L225" s="4">
        <v>38</v>
      </c>
      <c r="M225" s="7">
        <f t="shared" si="66"/>
        <v>1.0818390804597702</v>
      </c>
      <c r="N225" s="6"/>
    </row>
    <row r="226" spans="1:14" x14ac:dyDescent="0.25">
      <c r="A226" s="4">
        <v>1750</v>
      </c>
      <c r="B226" s="5">
        <f t="shared" si="59"/>
        <v>1893</v>
      </c>
      <c r="C226" s="5">
        <f t="shared" si="60"/>
        <v>557.04230082163372</v>
      </c>
      <c r="D226" s="34">
        <f t="shared" si="61"/>
        <v>569.04230082163372</v>
      </c>
      <c r="E226" s="34">
        <f t="shared" si="62"/>
        <v>1787.6991118430776</v>
      </c>
      <c r="F226" s="39">
        <f t="shared" si="63"/>
        <v>893.84955592153881</v>
      </c>
      <c r="G226" s="46">
        <f t="shared" si="67"/>
        <v>1.06</v>
      </c>
      <c r="H226" s="5">
        <f t="shared" si="64"/>
        <v>143</v>
      </c>
      <c r="I226" s="4"/>
      <c r="J226" s="4">
        <v>0.06</v>
      </c>
      <c r="K226" s="5">
        <f t="shared" si="65"/>
        <v>105</v>
      </c>
      <c r="L226" s="4">
        <v>38</v>
      </c>
      <c r="M226" s="7">
        <f t="shared" si="66"/>
        <v>1.0817142857142856</v>
      </c>
      <c r="N226" s="6"/>
    </row>
    <row r="227" spans="1:14" x14ac:dyDescent="0.25">
      <c r="A227" s="4">
        <v>1760</v>
      </c>
      <c r="B227" s="5">
        <f t="shared" si="59"/>
        <v>1903.6</v>
      </c>
      <c r="C227" s="5">
        <f t="shared" si="60"/>
        <v>560.22539968347155</v>
      </c>
      <c r="D227" s="34">
        <f t="shared" si="61"/>
        <v>572.22539968347155</v>
      </c>
      <c r="E227" s="34">
        <f t="shared" si="62"/>
        <v>1797.6991118430774</v>
      </c>
      <c r="F227" s="39">
        <f t="shared" si="63"/>
        <v>898.84955592153869</v>
      </c>
      <c r="G227" s="46">
        <f t="shared" si="67"/>
        <v>1.06</v>
      </c>
      <c r="H227" s="5">
        <f t="shared" si="64"/>
        <v>143.6</v>
      </c>
      <c r="I227" s="4"/>
      <c r="J227" s="4">
        <v>0.06</v>
      </c>
      <c r="K227" s="5">
        <f t="shared" si="65"/>
        <v>105.6</v>
      </c>
      <c r="L227" s="4">
        <v>38</v>
      </c>
      <c r="M227" s="7">
        <f t="shared" si="66"/>
        <v>1.081590909090909</v>
      </c>
      <c r="N227" s="6"/>
    </row>
    <row r="228" spans="1:14" x14ac:dyDescent="0.25">
      <c r="A228" s="4">
        <v>1770</v>
      </c>
      <c r="B228" s="5">
        <f t="shared" si="59"/>
        <v>1914.2</v>
      </c>
      <c r="C228" s="5">
        <f t="shared" si="60"/>
        <v>563.4084985453095</v>
      </c>
      <c r="D228" s="34">
        <f t="shared" si="61"/>
        <v>575.4084985453095</v>
      </c>
      <c r="E228" s="34">
        <f t="shared" si="62"/>
        <v>1807.6991118430774</v>
      </c>
      <c r="F228" s="39">
        <f t="shared" si="63"/>
        <v>903.84955592153869</v>
      </c>
      <c r="G228" s="46">
        <f t="shared" si="67"/>
        <v>1.06</v>
      </c>
      <c r="H228" s="5">
        <f t="shared" si="64"/>
        <v>144.19999999999999</v>
      </c>
      <c r="I228" s="4"/>
      <c r="J228" s="4">
        <v>0.06</v>
      </c>
      <c r="K228" s="5">
        <f t="shared" si="65"/>
        <v>106.2</v>
      </c>
      <c r="L228" s="4">
        <v>38</v>
      </c>
      <c r="M228" s="7">
        <f t="shared" si="66"/>
        <v>1.0814689265536723</v>
      </c>
      <c r="N228" s="6"/>
    </row>
    <row r="229" spans="1:14" x14ac:dyDescent="0.25">
      <c r="A229" s="4">
        <v>1780</v>
      </c>
      <c r="B229" s="5">
        <f t="shared" si="59"/>
        <v>1924.8</v>
      </c>
      <c r="C229" s="5">
        <f t="shared" si="60"/>
        <v>566.59159740714745</v>
      </c>
      <c r="D229" s="34">
        <f t="shared" si="61"/>
        <v>578.59159740714745</v>
      </c>
      <c r="E229" s="34">
        <f t="shared" si="62"/>
        <v>1817.6991118430776</v>
      </c>
      <c r="F229" s="39">
        <f t="shared" si="63"/>
        <v>908.84955592153881</v>
      </c>
      <c r="G229" s="46">
        <f t="shared" si="67"/>
        <v>1.06</v>
      </c>
      <c r="H229" s="5">
        <f t="shared" si="64"/>
        <v>144.80000000000001</v>
      </c>
      <c r="I229" s="4"/>
      <c r="J229" s="4">
        <v>0.06</v>
      </c>
      <c r="K229" s="5">
        <f t="shared" si="65"/>
        <v>106.8</v>
      </c>
      <c r="L229" s="4">
        <v>38</v>
      </c>
      <c r="M229" s="7">
        <f t="shared" si="66"/>
        <v>1.0813483146067415</v>
      </c>
      <c r="N229" s="6"/>
    </row>
    <row r="230" spans="1:14" x14ac:dyDescent="0.25">
      <c r="A230" s="4">
        <v>1790</v>
      </c>
      <c r="B230" s="5">
        <f t="shared" si="59"/>
        <v>1935.4</v>
      </c>
      <c r="C230" s="5">
        <f t="shared" si="60"/>
        <v>569.77469626898528</v>
      </c>
      <c r="D230" s="34">
        <f t="shared" si="61"/>
        <v>581.77469626898528</v>
      </c>
      <c r="E230" s="34">
        <f t="shared" si="62"/>
        <v>1827.6991118430774</v>
      </c>
      <c r="F230" s="39">
        <f t="shared" si="63"/>
        <v>913.84955592153869</v>
      </c>
      <c r="G230" s="46">
        <f t="shared" si="67"/>
        <v>1.06</v>
      </c>
      <c r="H230" s="5">
        <f t="shared" si="64"/>
        <v>145.39999999999998</v>
      </c>
      <c r="I230" s="4"/>
      <c r="J230" s="4">
        <v>0.06</v>
      </c>
      <c r="K230" s="5">
        <f t="shared" si="65"/>
        <v>107.39999999999999</v>
      </c>
      <c r="L230" s="4">
        <v>38</v>
      </c>
      <c r="M230" s="7">
        <f t="shared" si="66"/>
        <v>1.0812290502793296</v>
      </c>
      <c r="N230" s="6"/>
    </row>
    <row r="231" spans="1:14" x14ac:dyDescent="0.25">
      <c r="A231" s="4">
        <v>1800</v>
      </c>
      <c r="B231" s="5">
        <f t="shared" si="59"/>
        <v>1946</v>
      </c>
      <c r="C231" s="5">
        <f t="shared" si="60"/>
        <v>572.95779513082323</v>
      </c>
      <c r="D231" s="34">
        <f t="shared" si="61"/>
        <v>584.95779513082323</v>
      </c>
      <c r="E231" s="34">
        <f t="shared" si="62"/>
        <v>1837.6991118430776</v>
      </c>
      <c r="F231" s="39">
        <f t="shared" si="63"/>
        <v>918.84955592153881</v>
      </c>
      <c r="G231" s="46">
        <f t="shared" si="67"/>
        <v>1.06</v>
      </c>
      <c r="H231" s="5">
        <f t="shared" si="64"/>
        <v>146</v>
      </c>
      <c r="I231" s="4"/>
      <c r="J231" s="4">
        <v>0.06</v>
      </c>
      <c r="K231" s="5">
        <f t="shared" si="65"/>
        <v>108</v>
      </c>
      <c r="L231" s="4">
        <v>38</v>
      </c>
      <c r="M231" s="7">
        <f t="shared" si="66"/>
        <v>1.0811111111111111</v>
      </c>
      <c r="N231" s="6"/>
    </row>
    <row r="232" spans="1:14" x14ac:dyDescent="0.25">
      <c r="A232" s="4">
        <v>1810</v>
      </c>
      <c r="B232" s="5">
        <f t="shared" si="59"/>
        <v>1956.6</v>
      </c>
      <c r="C232" s="5">
        <f t="shared" si="60"/>
        <v>576.14089399266118</v>
      </c>
      <c r="D232" s="34">
        <f t="shared" si="61"/>
        <v>588.14089399266118</v>
      </c>
      <c r="E232" s="34">
        <f t="shared" si="62"/>
        <v>1847.6991118430776</v>
      </c>
      <c r="F232" s="39">
        <f t="shared" si="63"/>
        <v>923.84955592153881</v>
      </c>
      <c r="G232" s="46">
        <f t="shared" si="67"/>
        <v>1.06</v>
      </c>
      <c r="H232" s="5">
        <f t="shared" si="64"/>
        <v>146.6</v>
      </c>
      <c r="I232" s="4"/>
      <c r="J232" s="4">
        <v>0.06</v>
      </c>
      <c r="K232" s="5">
        <f t="shared" si="65"/>
        <v>108.6</v>
      </c>
      <c r="L232" s="4">
        <v>38</v>
      </c>
      <c r="M232" s="7">
        <f t="shared" si="66"/>
        <v>1.0809944751381215</v>
      </c>
      <c r="N232" s="6"/>
    </row>
    <row r="233" spans="1:14" x14ac:dyDescent="0.25">
      <c r="A233" s="4">
        <v>1820</v>
      </c>
      <c r="B233" s="5">
        <f t="shared" si="59"/>
        <v>1967.2</v>
      </c>
      <c r="C233" s="5">
        <f t="shared" si="60"/>
        <v>579.32399285449901</v>
      </c>
      <c r="D233" s="34">
        <f t="shared" si="61"/>
        <v>591.32399285449901</v>
      </c>
      <c r="E233" s="34">
        <f t="shared" si="62"/>
        <v>1857.6991118430774</v>
      </c>
      <c r="F233" s="39">
        <f t="shared" si="63"/>
        <v>928.84955592153869</v>
      </c>
      <c r="G233" s="46">
        <f t="shared" si="67"/>
        <v>1.06</v>
      </c>
      <c r="H233" s="5">
        <f t="shared" si="64"/>
        <v>147.19999999999999</v>
      </c>
      <c r="I233" s="4"/>
      <c r="J233" s="4">
        <v>0.06</v>
      </c>
      <c r="K233" s="5">
        <f t="shared" si="65"/>
        <v>109.2</v>
      </c>
      <c r="L233" s="4">
        <v>38</v>
      </c>
      <c r="M233" s="7">
        <f t="shared" si="66"/>
        <v>1.0808791208791209</v>
      </c>
      <c r="N233" s="6"/>
    </row>
    <row r="234" spans="1:14" x14ac:dyDescent="0.25">
      <c r="A234" s="4">
        <v>1830</v>
      </c>
      <c r="B234" s="5">
        <f t="shared" si="59"/>
        <v>1977.8</v>
      </c>
      <c r="C234" s="5">
        <f t="shared" si="60"/>
        <v>582.50709171633696</v>
      </c>
      <c r="D234" s="34">
        <f t="shared" si="61"/>
        <v>594.50709171633696</v>
      </c>
      <c r="E234" s="34">
        <f t="shared" si="62"/>
        <v>1867.6991118430776</v>
      </c>
      <c r="F234" s="39">
        <f t="shared" si="63"/>
        <v>933.84955592153881</v>
      </c>
      <c r="G234" s="46">
        <f t="shared" si="67"/>
        <v>1.06</v>
      </c>
      <c r="H234" s="5">
        <f t="shared" si="64"/>
        <v>147.80000000000001</v>
      </c>
      <c r="I234" s="4"/>
      <c r="J234" s="4">
        <v>0.06</v>
      </c>
      <c r="K234" s="5">
        <f t="shared" si="65"/>
        <v>109.8</v>
      </c>
      <c r="L234" s="4">
        <v>38</v>
      </c>
      <c r="M234" s="7">
        <f t="shared" si="66"/>
        <v>1.0807650273224043</v>
      </c>
      <c r="N234" s="6"/>
    </row>
    <row r="235" spans="1:14" x14ac:dyDescent="0.25">
      <c r="A235" s="4">
        <v>1840</v>
      </c>
      <c r="B235" s="5">
        <f t="shared" si="59"/>
        <v>1988.4</v>
      </c>
      <c r="C235" s="5">
        <f t="shared" si="60"/>
        <v>585.69019057817491</v>
      </c>
      <c r="D235" s="34">
        <f t="shared" si="61"/>
        <v>597.69019057817491</v>
      </c>
      <c r="E235" s="34">
        <f t="shared" si="62"/>
        <v>1877.6991118430776</v>
      </c>
      <c r="F235" s="39">
        <f t="shared" si="63"/>
        <v>938.84955592153881</v>
      </c>
      <c r="G235" s="46">
        <f t="shared" si="67"/>
        <v>1.06</v>
      </c>
      <c r="H235" s="5">
        <f t="shared" si="64"/>
        <v>148.39999999999998</v>
      </c>
      <c r="I235" s="4"/>
      <c r="J235" s="4">
        <v>0.06</v>
      </c>
      <c r="K235" s="5">
        <f t="shared" si="65"/>
        <v>110.39999999999999</v>
      </c>
      <c r="L235" s="4">
        <v>38</v>
      </c>
      <c r="M235" s="7">
        <f t="shared" si="66"/>
        <v>1.0806521739130435</v>
      </c>
      <c r="N235" s="6"/>
    </row>
    <row r="236" spans="1:14" x14ac:dyDescent="0.25">
      <c r="A236" s="4">
        <v>1850</v>
      </c>
      <c r="B236" s="5">
        <f t="shared" si="59"/>
        <v>1999</v>
      </c>
      <c r="C236" s="5">
        <f t="shared" si="60"/>
        <v>588.87328944001274</v>
      </c>
      <c r="D236" s="34">
        <f t="shared" si="61"/>
        <v>600.87328944001274</v>
      </c>
      <c r="E236" s="34">
        <f t="shared" si="62"/>
        <v>1887.6991118430774</v>
      </c>
      <c r="F236" s="39">
        <f t="shared" si="63"/>
        <v>943.84955592153869</v>
      </c>
      <c r="G236" s="46">
        <f t="shared" si="67"/>
        <v>1.06</v>
      </c>
      <c r="H236" s="5">
        <f t="shared" si="64"/>
        <v>149</v>
      </c>
      <c r="I236" s="4"/>
      <c r="J236" s="4">
        <v>0.06</v>
      </c>
      <c r="K236" s="5">
        <f t="shared" si="65"/>
        <v>111</v>
      </c>
      <c r="L236" s="4">
        <v>38</v>
      </c>
      <c r="M236" s="7">
        <f t="shared" si="66"/>
        <v>1.0805405405405406</v>
      </c>
      <c r="N236" s="6"/>
    </row>
    <row r="237" spans="1:14" x14ac:dyDescent="0.25">
      <c r="A237" s="4">
        <v>1860</v>
      </c>
      <c r="B237" s="5">
        <f t="shared" si="59"/>
        <v>2009.6</v>
      </c>
      <c r="C237" s="5">
        <f t="shared" si="60"/>
        <v>592.05638830185069</v>
      </c>
      <c r="D237" s="34">
        <f t="shared" si="61"/>
        <v>604.05638830185069</v>
      </c>
      <c r="E237" s="34">
        <f t="shared" si="62"/>
        <v>1897.6991118430776</v>
      </c>
      <c r="F237" s="39">
        <f t="shared" si="63"/>
        <v>948.84955592153881</v>
      </c>
      <c r="G237" s="46">
        <f t="shared" si="67"/>
        <v>1.06</v>
      </c>
      <c r="H237" s="5">
        <f t="shared" si="64"/>
        <v>149.6</v>
      </c>
      <c r="I237" s="4"/>
      <c r="J237" s="4">
        <v>0.06</v>
      </c>
      <c r="K237" s="5">
        <f t="shared" si="65"/>
        <v>111.6</v>
      </c>
      <c r="L237" s="4">
        <v>38</v>
      </c>
      <c r="M237" s="7">
        <f t="shared" si="66"/>
        <v>1.0804301075268816</v>
      </c>
      <c r="N237" s="6"/>
    </row>
    <row r="238" spans="1:14" x14ac:dyDescent="0.25">
      <c r="A238" s="4">
        <v>1870</v>
      </c>
      <c r="B238" s="5">
        <f t="shared" ref="B238:B301" si="68">A238+K238+L238</f>
        <v>2020.2</v>
      </c>
      <c r="C238" s="5">
        <f t="shared" ref="C238:C301" si="69">A238/PI()</f>
        <v>595.23948716368852</v>
      </c>
      <c r="D238" s="34">
        <f t="shared" ref="D238:D301" si="70">C238+12</f>
        <v>607.23948716368852</v>
      </c>
      <c r="E238" s="34">
        <f t="shared" ref="E238:E301" si="71">D238*PI()</f>
        <v>1907.6991118430774</v>
      </c>
      <c r="F238" s="39">
        <f t="shared" ref="F238:F301" si="72">E238/2</f>
        <v>953.84955592153869</v>
      </c>
      <c r="G238" s="46">
        <f t="shared" si="67"/>
        <v>1.06</v>
      </c>
      <c r="H238" s="5">
        <f t="shared" ref="H238:H301" si="73">K238+L238</f>
        <v>150.19999999999999</v>
      </c>
      <c r="I238" s="4"/>
      <c r="J238" s="4">
        <v>0.06</v>
      </c>
      <c r="K238" s="5">
        <f t="shared" ref="K238:K301" si="74">A238*J238</f>
        <v>112.2</v>
      </c>
      <c r="L238" s="4">
        <v>38</v>
      </c>
      <c r="M238" s="7">
        <f t="shared" ref="M238:M301" si="75">B238/A238</f>
        <v>1.0803208556149733</v>
      </c>
      <c r="N238" s="6"/>
    </row>
    <row r="239" spans="1:14" x14ac:dyDescent="0.25">
      <c r="A239" s="4">
        <v>1880</v>
      </c>
      <c r="B239" s="5">
        <f t="shared" si="68"/>
        <v>2030.8</v>
      </c>
      <c r="C239" s="5">
        <f t="shared" si="69"/>
        <v>598.42258602552647</v>
      </c>
      <c r="D239" s="34">
        <f t="shared" si="70"/>
        <v>610.42258602552647</v>
      </c>
      <c r="E239" s="34">
        <f t="shared" si="71"/>
        <v>1917.6991118430774</v>
      </c>
      <c r="F239" s="39">
        <f t="shared" si="72"/>
        <v>958.84955592153869</v>
      </c>
      <c r="G239" s="46">
        <f t="shared" si="67"/>
        <v>1.06</v>
      </c>
      <c r="H239" s="5">
        <f t="shared" si="73"/>
        <v>150.80000000000001</v>
      </c>
      <c r="I239" s="4"/>
      <c r="J239" s="4">
        <v>0.06</v>
      </c>
      <c r="K239" s="5">
        <f t="shared" si="74"/>
        <v>112.8</v>
      </c>
      <c r="L239" s="4">
        <v>38</v>
      </c>
      <c r="M239" s="7">
        <f t="shared" si="75"/>
        <v>1.0802127659574468</v>
      </c>
      <c r="N239" s="6"/>
    </row>
    <row r="240" spans="1:14" x14ac:dyDescent="0.25">
      <c r="A240" s="4">
        <v>1890</v>
      </c>
      <c r="B240" s="5">
        <f t="shared" si="68"/>
        <v>2041.4</v>
      </c>
      <c r="C240" s="5">
        <f t="shared" si="69"/>
        <v>601.60568488736442</v>
      </c>
      <c r="D240" s="34">
        <f t="shared" si="70"/>
        <v>613.60568488736442</v>
      </c>
      <c r="E240" s="34">
        <f t="shared" si="71"/>
        <v>1927.6991118430776</v>
      </c>
      <c r="F240" s="39">
        <f t="shared" si="72"/>
        <v>963.84955592153881</v>
      </c>
      <c r="G240" s="46">
        <f t="shared" si="67"/>
        <v>1.06</v>
      </c>
      <c r="H240" s="5">
        <f t="shared" si="73"/>
        <v>151.39999999999998</v>
      </c>
      <c r="I240" s="4"/>
      <c r="J240" s="4">
        <v>0.06</v>
      </c>
      <c r="K240" s="5">
        <f t="shared" si="74"/>
        <v>113.39999999999999</v>
      </c>
      <c r="L240" s="4">
        <v>38</v>
      </c>
      <c r="M240" s="7">
        <f t="shared" si="75"/>
        <v>1.0801058201058202</v>
      </c>
      <c r="N240" s="6"/>
    </row>
    <row r="241" spans="1:14" x14ac:dyDescent="0.25">
      <c r="A241" s="4">
        <v>1900</v>
      </c>
      <c r="B241" s="5">
        <f t="shared" si="68"/>
        <v>2052</v>
      </c>
      <c r="C241" s="5">
        <f t="shared" si="69"/>
        <v>604.78878374920225</v>
      </c>
      <c r="D241" s="34">
        <f t="shared" si="70"/>
        <v>616.78878374920225</v>
      </c>
      <c r="E241" s="34">
        <f t="shared" si="71"/>
        <v>1937.6991118430774</v>
      </c>
      <c r="F241" s="39">
        <f t="shared" si="72"/>
        <v>968.84955592153869</v>
      </c>
      <c r="G241" s="46">
        <f t="shared" si="67"/>
        <v>1.06</v>
      </c>
      <c r="H241" s="5">
        <f t="shared" si="73"/>
        <v>152</v>
      </c>
      <c r="I241" s="4"/>
      <c r="J241" s="4">
        <v>0.06</v>
      </c>
      <c r="K241" s="5">
        <f t="shared" si="74"/>
        <v>114</v>
      </c>
      <c r="L241" s="4">
        <v>38</v>
      </c>
      <c r="M241" s="7">
        <f t="shared" si="75"/>
        <v>1.08</v>
      </c>
      <c r="N241" s="6"/>
    </row>
    <row r="242" spans="1:14" x14ac:dyDescent="0.25">
      <c r="A242" s="4">
        <v>1910</v>
      </c>
      <c r="B242" s="5">
        <f t="shared" si="68"/>
        <v>2062.6</v>
      </c>
      <c r="C242" s="5">
        <f t="shared" si="69"/>
        <v>607.9718826110402</v>
      </c>
      <c r="D242" s="34">
        <f t="shared" si="70"/>
        <v>619.9718826110402</v>
      </c>
      <c r="E242" s="34">
        <f t="shared" si="71"/>
        <v>1947.6991118430774</v>
      </c>
      <c r="F242" s="39">
        <f t="shared" si="72"/>
        <v>973.84955592153869</v>
      </c>
      <c r="G242" s="46">
        <f t="shared" si="67"/>
        <v>1.06</v>
      </c>
      <c r="H242" s="5">
        <f t="shared" si="73"/>
        <v>152.6</v>
      </c>
      <c r="I242" s="4"/>
      <c r="J242" s="4">
        <v>0.06</v>
      </c>
      <c r="K242" s="5">
        <f t="shared" si="74"/>
        <v>114.6</v>
      </c>
      <c r="L242" s="4">
        <v>38</v>
      </c>
      <c r="M242" s="7">
        <f t="shared" si="75"/>
        <v>1.0798952879581152</v>
      </c>
      <c r="N242" s="6"/>
    </row>
    <row r="243" spans="1:14" x14ac:dyDescent="0.25">
      <c r="A243" s="4">
        <v>1920</v>
      </c>
      <c r="B243" s="5">
        <f t="shared" si="68"/>
        <v>2073.1999999999998</v>
      </c>
      <c r="C243" s="5">
        <f t="shared" si="69"/>
        <v>611.15498147287815</v>
      </c>
      <c r="D243" s="34">
        <f t="shared" si="70"/>
        <v>623.15498147287815</v>
      </c>
      <c r="E243" s="34">
        <f t="shared" si="71"/>
        <v>1957.6991118430776</v>
      </c>
      <c r="F243" s="39">
        <f t="shared" si="72"/>
        <v>978.84955592153881</v>
      </c>
      <c r="G243" s="46">
        <f t="shared" si="67"/>
        <v>1.06</v>
      </c>
      <c r="H243" s="5">
        <f t="shared" si="73"/>
        <v>153.19999999999999</v>
      </c>
      <c r="I243" s="4"/>
      <c r="J243" s="4">
        <v>0.06</v>
      </c>
      <c r="K243" s="5">
        <f t="shared" si="74"/>
        <v>115.19999999999999</v>
      </c>
      <c r="L243" s="4">
        <v>38</v>
      </c>
      <c r="M243" s="7">
        <f t="shared" si="75"/>
        <v>1.0797916666666665</v>
      </c>
      <c r="N243" s="6"/>
    </row>
    <row r="244" spans="1:14" x14ac:dyDescent="0.25">
      <c r="A244" s="4">
        <v>1930</v>
      </c>
      <c r="B244" s="5">
        <f t="shared" si="68"/>
        <v>2083.8000000000002</v>
      </c>
      <c r="C244" s="5">
        <f t="shared" si="69"/>
        <v>614.33808033471598</v>
      </c>
      <c r="D244" s="34">
        <f t="shared" si="70"/>
        <v>626.33808033471598</v>
      </c>
      <c r="E244" s="34">
        <f t="shared" si="71"/>
        <v>1967.6991118430774</v>
      </c>
      <c r="F244" s="39">
        <f t="shared" si="72"/>
        <v>983.84955592153869</v>
      </c>
      <c r="G244" s="46">
        <f t="shared" si="67"/>
        <v>1.06</v>
      </c>
      <c r="H244" s="5">
        <f t="shared" si="73"/>
        <v>153.80000000000001</v>
      </c>
      <c r="I244" s="4"/>
      <c r="J244" s="4">
        <v>0.06</v>
      </c>
      <c r="K244" s="5">
        <f t="shared" si="74"/>
        <v>115.8</v>
      </c>
      <c r="L244" s="4">
        <v>38</v>
      </c>
      <c r="M244" s="7">
        <f t="shared" si="75"/>
        <v>1.0796891191709845</v>
      </c>
      <c r="N244" s="6"/>
    </row>
    <row r="245" spans="1:14" x14ac:dyDescent="0.25">
      <c r="A245" s="4">
        <v>1940</v>
      </c>
      <c r="B245" s="5">
        <f t="shared" si="68"/>
        <v>2094.4</v>
      </c>
      <c r="C245" s="5">
        <f t="shared" si="69"/>
        <v>617.52117919655393</v>
      </c>
      <c r="D245" s="34">
        <f t="shared" si="70"/>
        <v>629.52117919655393</v>
      </c>
      <c r="E245" s="34">
        <f t="shared" si="71"/>
        <v>1977.6991118430776</v>
      </c>
      <c r="F245" s="39">
        <f t="shared" si="72"/>
        <v>988.84955592153881</v>
      </c>
      <c r="G245" s="46">
        <f t="shared" si="67"/>
        <v>1.06</v>
      </c>
      <c r="H245" s="5">
        <f t="shared" si="73"/>
        <v>154.39999999999998</v>
      </c>
      <c r="I245" s="4"/>
      <c r="J245" s="4">
        <v>0.06</v>
      </c>
      <c r="K245" s="5">
        <f t="shared" si="74"/>
        <v>116.39999999999999</v>
      </c>
      <c r="L245" s="4">
        <v>38</v>
      </c>
      <c r="M245" s="7">
        <f t="shared" si="75"/>
        <v>1.0795876288659794</v>
      </c>
      <c r="N245" s="6"/>
    </row>
    <row r="246" spans="1:14" x14ac:dyDescent="0.25">
      <c r="A246" s="4">
        <v>1950</v>
      </c>
      <c r="B246" s="5">
        <f t="shared" si="68"/>
        <v>2105</v>
      </c>
      <c r="C246" s="5">
        <f t="shared" si="69"/>
        <v>620.70427805839188</v>
      </c>
      <c r="D246" s="34">
        <f t="shared" si="70"/>
        <v>632.70427805839188</v>
      </c>
      <c r="E246" s="34">
        <f t="shared" si="71"/>
        <v>1987.6991118430776</v>
      </c>
      <c r="F246" s="39">
        <f t="shared" si="72"/>
        <v>993.84955592153881</v>
      </c>
      <c r="G246" s="46">
        <f t="shared" si="67"/>
        <v>1.06</v>
      </c>
      <c r="H246" s="5">
        <f t="shared" si="73"/>
        <v>155</v>
      </c>
      <c r="I246" s="4"/>
      <c r="J246" s="4">
        <v>0.06</v>
      </c>
      <c r="K246" s="5">
        <f t="shared" si="74"/>
        <v>117</v>
      </c>
      <c r="L246" s="4">
        <v>38</v>
      </c>
      <c r="M246" s="7">
        <f t="shared" si="75"/>
        <v>1.0794871794871794</v>
      </c>
      <c r="N246" s="6"/>
    </row>
    <row r="247" spans="1:14" x14ac:dyDescent="0.25">
      <c r="A247" s="4">
        <v>1960</v>
      </c>
      <c r="B247" s="5">
        <f t="shared" si="68"/>
        <v>2115.6</v>
      </c>
      <c r="C247" s="5">
        <f t="shared" si="69"/>
        <v>623.88737692022971</v>
      </c>
      <c r="D247" s="34">
        <f t="shared" si="70"/>
        <v>635.88737692022971</v>
      </c>
      <c r="E247" s="34">
        <f t="shared" si="71"/>
        <v>1997.6991118430774</v>
      </c>
      <c r="F247" s="39">
        <f t="shared" si="72"/>
        <v>998.84955592153869</v>
      </c>
      <c r="G247" s="46">
        <f t="shared" si="67"/>
        <v>1.06</v>
      </c>
      <c r="H247" s="5">
        <f t="shared" si="73"/>
        <v>155.6</v>
      </c>
      <c r="I247" s="4"/>
      <c r="J247" s="4">
        <v>0.06</v>
      </c>
      <c r="K247" s="5">
        <f t="shared" si="74"/>
        <v>117.6</v>
      </c>
      <c r="L247" s="4">
        <v>38</v>
      </c>
      <c r="M247" s="7">
        <f t="shared" si="75"/>
        <v>1.0793877551020408</v>
      </c>
      <c r="N247" s="6"/>
    </row>
    <row r="248" spans="1:14" x14ac:dyDescent="0.25">
      <c r="A248" s="4">
        <v>1970</v>
      </c>
      <c r="B248" s="5">
        <f t="shared" si="68"/>
        <v>2126.1999999999998</v>
      </c>
      <c r="C248" s="5">
        <f t="shared" si="69"/>
        <v>627.07047578206766</v>
      </c>
      <c r="D248" s="34">
        <f t="shared" si="70"/>
        <v>639.07047578206766</v>
      </c>
      <c r="E248" s="34">
        <f t="shared" si="71"/>
        <v>2007.6991118430776</v>
      </c>
      <c r="F248" s="39">
        <f t="shared" si="72"/>
        <v>1003.8495559215388</v>
      </c>
      <c r="G248" s="46">
        <f t="shared" si="67"/>
        <v>1.06</v>
      </c>
      <c r="H248" s="5">
        <f t="shared" si="73"/>
        <v>156.19999999999999</v>
      </c>
      <c r="I248" s="4"/>
      <c r="J248" s="4">
        <v>0.06</v>
      </c>
      <c r="K248" s="5">
        <f t="shared" si="74"/>
        <v>118.19999999999999</v>
      </c>
      <c r="L248" s="4">
        <v>38</v>
      </c>
      <c r="M248" s="7">
        <f t="shared" si="75"/>
        <v>1.0792893401015227</v>
      </c>
      <c r="N248" s="6"/>
    </row>
    <row r="249" spans="1:14" x14ac:dyDescent="0.25">
      <c r="A249" s="4">
        <v>1980</v>
      </c>
      <c r="B249" s="5">
        <f t="shared" si="68"/>
        <v>2136.8000000000002</v>
      </c>
      <c r="C249" s="5">
        <f t="shared" si="69"/>
        <v>630.25357464390561</v>
      </c>
      <c r="D249" s="34">
        <f t="shared" si="70"/>
        <v>642.25357464390561</v>
      </c>
      <c r="E249" s="34">
        <f t="shared" si="71"/>
        <v>2017.6991118430776</v>
      </c>
      <c r="F249" s="39">
        <f t="shared" si="72"/>
        <v>1008.8495559215388</v>
      </c>
      <c r="G249" s="46">
        <f t="shared" si="67"/>
        <v>1.06</v>
      </c>
      <c r="H249" s="5">
        <f t="shared" si="73"/>
        <v>156.80000000000001</v>
      </c>
      <c r="I249" s="4"/>
      <c r="J249" s="4">
        <v>0.06</v>
      </c>
      <c r="K249" s="5">
        <f t="shared" si="74"/>
        <v>118.8</v>
      </c>
      <c r="L249" s="4">
        <v>38</v>
      </c>
      <c r="M249" s="7">
        <f t="shared" si="75"/>
        <v>1.0791919191919193</v>
      </c>
      <c r="N249" s="6"/>
    </row>
    <row r="250" spans="1:14" x14ac:dyDescent="0.25">
      <c r="A250" s="4">
        <v>1990</v>
      </c>
      <c r="B250" s="5">
        <f t="shared" si="68"/>
        <v>2147.4</v>
      </c>
      <c r="C250" s="5">
        <f t="shared" si="69"/>
        <v>633.43667350574344</v>
      </c>
      <c r="D250" s="34">
        <f t="shared" si="70"/>
        <v>645.43667350574344</v>
      </c>
      <c r="E250" s="34">
        <f t="shared" si="71"/>
        <v>2027.6991118430774</v>
      </c>
      <c r="F250" s="39">
        <f t="shared" si="72"/>
        <v>1013.8495559215387</v>
      </c>
      <c r="G250" s="46">
        <f t="shared" si="67"/>
        <v>1.06</v>
      </c>
      <c r="H250" s="5">
        <f t="shared" si="73"/>
        <v>157.39999999999998</v>
      </c>
      <c r="I250" s="4"/>
      <c r="J250" s="4">
        <v>0.06</v>
      </c>
      <c r="K250" s="5">
        <f t="shared" si="74"/>
        <v>119.39999999999999</v>
      </c>
      <c r="L250" s="4">
        <v>38</v>
      </c>
      <c r="M250" s="7">
        <f t="shared" si="75"/>
        <v>1.0790954773869348</v>
      </c>
      <c r="N250" s="6"/>
    </row>
    <row r="251" spans="1:14" x14ac:dyDescent="0.25">
      <c r="A251" s="4">
        <v>2000</v>
      </c>
      <c r="B251" s="5">
        <f t="shared" si="68"/>
        <v>2158</v>
      </c>
      <c r="C251" s="5">
        <f t="shared" si="69"/>
        <v>636.61977236758139</v>
      </c>
      <c r="D251" s="34">
        <f t="shared" si="70"/>
        <v>648.61977236758139</v>
      </c>
      <c r="E251" s="34">
        <f t="shared" si="71"/>
        <v>2037.6991118430776</v>
      </c>
      <c r="F251" s="39">
        <f t="shared" si="72"/>
        <v>1018.8495559215388</v>
      </c>
      <c r="G251" s="46">
        <f t="shared" si="67"/>
        <v>1.06</v>
      </c>
      <c r="H251" s="5">
        <f t="shared" si="73"/>
        <v>158</v>
      </c>
      <c r="I251" s="4"/>
      <c r="J251" s="4">
        <v>0.06</v>
      </c>
      <c r="K251" s="5">
        <f t="shared" si="74"/>
        <v>120</v>
      </c>
      <c r="L251" s="4">
        <v>38</v>
      </c>
      <c r="M251" s="7">
        <f t="shared" si="75"/>
        <v>1.079</v>
      </c>
      <c r="N251" s="6"/>
    </row>
    <row r="252" spans="1:14" x14ac:dyDescent="0.25">
      <c r="A252" s="4">
        <v>2010</v>
      </c>
      <c r="B252" s="5">
        <f t="shared" si="68"/>
        <v>2168.6</v>
      </c>
      <c r="C252" s="5">
        <f t="shared" si="69"/>
        <v>639.80287122941922</v>
      </c>
      <c r="D252" s="34">
        <f t="shared" si="70"/>
        <v>651.80287122941922</v>
      </c>
      <c r="E252" s="34">
        <f t="shared" si="71"/>
        <v>2047.6991118430774</v>
      </c>
      <c r="F252" s="39">
        <f t="shared" si="72"/>
        <v>1023.8495559215387</v>
      </c>
      <c r="G252" s="46">
        <f t="shared" si="67"/>
        <v>1.06</v>
      </c>
      <c r="H252" s="5">
        <f t="shared" si="73"/>
        <v>158.6</v>
      </c>
      <c r="I252" s="4"/>
      <c r="J252" s="4">
        <v>0.06</v>
      </c>
      <c r="K252" s="5">
        <f t="shared" si="74"/>
        <v>120.6</v>
      </c>
      <c r="L252" s="4">
        <v>38</v>
      </c>
      <c r="M252" s="7">
        <f t="shared" si="75"/>
        <v>1.0789054726368159</v>
      </c>
      <c r="N252" s="6"/>
    </row>
    <row r="253" spans="1:14" x14ac:dyDescent="0.25">
      <c r="A253" s="4">
        <v>2020</v>
      </c>
      <c r="B253" s="5">
        <f t="shared" si="68"/>
        <v>2179.1999999999998</v>
      </c>
      <c r="C253" s="5">
        <f t="shared" si="69"/>
        <v>642.98597009125717</v>
      </c>
      <c r="D253" s="34">
        <f t="shared" si="70"/>
        <v>654.98597009125717</v>
      </c>
      <c r="E253" s="34">
        <f t="shared" si="71"/>
        <v>2057.6991118430774</v>
      </c>
      <c r="F253" s="39">
        <f t="shared" si="72"/>
        <v>1028.8495559215387</v>
      </c>
      <c r="G253" s="46">
        <f t="shared" si="67"/>
        <v>1.06</v>
      </c>
      <c r="H253" s="5">
        <f t="shared" si="73"/>
        <v>159.19999999999999</v>
      </c>
      <c r="I253" s="4"/>
      <c r="J253" s="4">
        <v>0.06</v>
      </c>
      <c r="K253" s="5">
        <f t="shared" si="74"/>
        <v>121.19999999999999</v>
      </c>
      <c r="L253" s="4">
        <v>38</v>
      </c>
      <c r="M253" s="7">
        <f t="shared" si="75"/>
        <v>1.0788118811881187</v>
      </c>
      <c r="N253" s="6"/>
    </row>
    <row r="254" spans="1:14" x14ac:dyDescent="0.25">
      <c r="A254" s="4">
        <v>2030</v>
      </c>
      <c r="B254" s="5">
        <f t="shared" si="68"/>
        <v>2189.8000000000002</v>
      </c>
      <c r="C254" s="5">
        <f t="shared" si="69"/>
        <v>646.16906895309512</v>
      </c>
      <c r="D254" s="34">
        <f t="shared" si="70"/>
        <v>658.16906895309512</v>
      </c>
      <c r="E254" s="34">
        <f t="shared" si="71"/>
        <v>2067.6991118430778</v>
      </c>
      <c r="F254" s="39">
        <f t="shared" si="72"/>
        <v>1033.8495559215389</v>
      </c>
      <c r="G254" s="46">
        <f t="shared" si="67"/>
        <v>1.06</v>
      </c>
      <c r="H254" s="5">
        <f t="shared" si="73"/>
        <v>159.80000000000001</v>
      </c>
      <c r="I254" s="4"/>
      <c r="J254" s="4">
        <v>0.06</v>
      </c>
      <c r="K254" s="5">
        <f t="shared" si="74"/>
        <v>121.8</v>
      </c>
      <c r="L254" s="4">
        <v>38</v>
      </c>
      <c r="M254" s="7">
        <f t="shared" si="75"/>
        <v>1.0787192118226603</v>
      </c>
      <c r="N254" s="6"/>
    </row>
    <row r="255" spans="1:14" x14ac:dyDescent="0.25">
      <c r="A255" s="4">
        <v>2040</v>
      </c>
      <c r="B255" s="5">
        <f t="shared" si="68"/>
        <v>2200.4</v>
      </c>
      <c r="C255" s="5">
        <f t="shared" si="69"/>
        <v>649.35216781493295</v>
      </c>
      <c r="D255" s="34">
        <f t="shared" si="70"/>
        <v>661.35216781493295</v>
      </c>
      <c r="E255" s="34">
        <f t="shared" si="71"/>
        <v>2077.6991118430774</v>
      </c>
      <c r="F255" s="39">
        <f t="shared" si="72"/>
        <v>1038.8495559215387</v>
      </c>
      <c r="G255" s="46">
        <f t="shared" si="67"/>
        <v>1.06</v>
      </c>
      <c r="H255" s="5">
        <f t="shared" si="73"/>
        <v>160.39999999999998</v>
      </c>
      <c r="I255" s="4"/>
      <c r="J255" s="4">
        <v>0.06</v>
      </c>
      <c r="K255" s="5">
        <f t="shared" si="74"/>
        <v>122.39999999999999</v>
      </c>
      <c r="L255" s="4">
        <v>38</v>
      </c>
      <c r="M255" s="7">
        <f t="shared" si="75"/>
        <v>1.0786274509803921</v>
      </c>
      <c r="N255" s="6"/>
    </row>
    <row r="256" spans="1:14" x14ac:dyDescent="0.25">
      <c r="A256" s="4">
        <v>2050</v>
      </c>
      <c r="B256" s="5">
        <f t="shared" si="68"/>
        <v>2211</v>
      </c>
      <c r="C256" s="5">
        <f t="shared" si="69"/>
        <v>652.5352666767709</v>
      </c>
      <c r="D256" s="34">
        <f t="shared" si="70"/>
        <v>664.5352666767709</v>
      </c>
      <c r="E256" s="34">
        <f t="shared" si="71"/>
        <v>2087.6991118430774</v>
      </c>
      <c r="F256" s="39">
        <f t="shared" si="72"/>
        <v>1043.8495559215387</v>
      </c>
      <c r="G256" s="46">
        <f t="shared" si="67"/>
        <v>1.06</v>
      </c>
      <c r="H256" s="5">
        <f t="shared" si="73"/>
        <v>161</v>
      </c>
      <c r="I256" s="4"/>
      <c r="J256" s="4">
        <v>0.06</v>
      </c>
      <c r="K256" s="5">
        <f t="shared" si="74"/>
        <v>123</v>
      </c>
      <c r="L256" s="4">
        <v>38</v>
      </c>
      <c r="M256" s="7">
        <f t="shared" si="75"/>
        <v>1.0785365853658537</v>
      </c>
      <c r="N256" s="6"/>
    </row>
    <row r="257" spans="1:14" x14ac:dyDescent="0.25">
      <c r="A257" s="4">
        <v>2060</v>
      </c>
      <c r="B257" s="5">
        <f t="shared" si="68"/>
        <v>2221.6</v>
      </c>
      <c r="C257" s="5">
        <f t="shared" si="69"/>
        <v>655.71836553860885</v>
      </c>
      <c r="D257" s="34">
        <f t="shared" si="70"/>
        <v>667.71836553860885</v>
      </c>
      <c r="E257" s="34">
        <f t="shared" si="71"/>
        <v>2097.6991118430778</v>
      </c>
      <c r="F257" s="39">
        <f t="shared" si="72"/>
        <v>1048.8495559215389</v>
      </c>
      <c r="G257" s="46">
        <f t="shared" si="67"/>
        <v>1.06</v>
      </c>
      <c r="H257" s="5">
        <f t="shared" si="73"/>
        <v>161.6</v>
      </c>
      <c r="I257" s="4"/>
      <c r="J257" s="4">
        <v>0.06</v>
      </c>
      <c r="K257" s="5">
        <f t="shared" si="74"/>
        <v>123.6</v>
      </c>
      <c r="L257" s="4">
        <v>38</v>
      </c>
      <c r="M257" s="7">
        <f t="shared" si="75"/>
        <v>1.0784466019417476</v>
      </c>
      <c r="N257" s="6"/>
    </row>
    <row r="258" spans="1:14" x14ac:dyDescent="0.25">
      <c r="A258" s="4">
        <v>2070</v>
      </c>
      <c r="B258" s="5">
        <f t="shared" si="68"/>
        <v>2232.1999999999998</v>
      </c>
      <c r="C258" s="5">
        <f t="shared" si="69"/>
        <v>658.90146440044668</v>
      </c>
      <c r="D258" s="34">
        <f t="shared" si="70"/>
        <v>670.90146440044668</v>
      </c>
      <c r="E258" s="34">
        <f t="shared" si="71"/>
        <v>2107.6991118430774</v>
      </c>
      <c r="F258" s="39">
        <f t="shared" si="72"/>
        <v>1053.8495559215387</v>
      </c>
      <c r="G258" s="46">
        <f t="shared" si="67"/>
        <v>1.06</v>
      </c>
      <c r="H258" s="5">
        <f t="shared" si="73"/>
        <v>162.19999999999999</v>
      </c>
      <c r="I258" s="4"/>
      <c r="J258" s="4">
        <v>0.06</v>
      </c>
      <c r="K258" s="5">
        <f t="shared" si="74"/>
        <v>124.19999999999999</v>
      </c>
      <c r="L258" s="4">
        <v>38</v>
      </c>
      <c r="M258" s="7">
        <f t="shared" si="75"/>
        <v>1.0783574879227051</v>
      </c>
      <c r="N258" s="6"/>
    </row>
    <row r="259" spans="1:14" x14ac:dyDescent="0.25">
      <c r="A259" s="4">
        <v>2080</v>
      </c>
      <c r="B259" s="5">
        <f t="shared" si="68"/>
        <v>2242.8000000000002</v>
      </c>
      <c r="C259" s="5">
        <f t="shared" si="69"/>
        <v>662.08456326228463</v>
      </c>
      <c r="D259" s="34">
        <f t="shared" si="70"/>
        <v>674.08456326228463</v>
      </c>
      <c r="E259" s="34">
        <f t="shared" si="71"/>
        <v>2117.6991118430774</v>
      </c>
      <c r="F259" s="39">
        <f t="shared" si="72"/>
        <v>1058.8495559215387</v>
      </c>
      <c r="G259" s="46">
        <f t="shared" si="67"/>
        <v>1.06</v>
      </c>
      <c r="H259" s="5">
        <f t="shared" si="73"/>
        <v>162.80000000000001</v>
      </c>
      <c r="I259" s="4"/>
      <c r="J259" s="4">
        <v>0.06</v>
      </c>
      <c r="K259" s="5">
        <f t="shared" si="74"/>
        <v>124.8</v>
      </c>
      <c r="L259" s="4">
        <v>38</v>
      </c>
      <c r="M259" s="7">
        <f t="shared" si="75"/>
        <v>1.0782692307692308</v>
      </c>
      <c r="N259" s="6"/>
    </row>
    <row r="260" spans="1:14" x14ac:dyDescent="0.25">
      <c r="A260" s="4">
        <v>2090</v>
      </c>
      <c r="B260" s="5">
        <f t="shared" si="68"/>
        <v>2253.4</v>
      </c>
      <c r="C260" s="5">
        <f t="shared" si="69"/>
        <v>665.26766212412258</v>
      </c>
      <c r="D260" s="34">
        <f t="shared" si="70"/>
        <v>677.26766212412258</v>
      </c>
      <c r="E260" s="34">
        <f t="shared" si="71"/>
        <v>2127.6991118430778</v>
      </c>
      <c r="F260" s="39">
        <f t="shared" si="72"/>
        <v>1063.8495559215389</v>
      </c>
      <c r="G260" s="46">
        <f t="shared" si="67"/>
        <v>1.06</v>
      </c>
      <c r="H260" s="5">
        <f t="shared" si="73"/>
        <v>163.39999999999998</v>
      </c>
      <c r="I260" s="4"/>
      <c r="J260" s="4">
        <v>0.06</v>
      </c>
      <c r="K260" s="5">
        <f t="shared" si="74"/>
        <v>125.39999999999999</v>
      </c>
      <c r="L260" s="4">
        <v>38</v>
      </c>
      <c r="M260" s="7">
        <f t="shared" si="75"/>
        <v>1.0781818181818181</v>
      </c>
      <c r="N260" s="6"/>
    </row>
    <row r="261" spans="1:14" x14ac:dyDescent="0.25">
      <c r="A261" s="4">
        <v>2100</v>
      </c>
      <c r="B261" s="5">
        <f t="shared" si="68"/>
        <v>2264</v>
      </c>
      <c r="C261" s="5">
        <f t="shared" si="69"/>
        <v>668.45076098596041</v>
      </c>
      <c r="D261" s="34">
        <f t="shared" si="70"/>
        <v>680.45076098596041</v>
      </c>
      <c r="E261" s="34">
        <f t="shared" si="71"/>
        <v>2137.6991118430774</v>
      </c>
      <c r="F261" s="39">
        <f t="shared" si="72"/>
        <v>1068.8495559215387</v>
      </c>
      <c r="G261" s="46">
        <f t="shared" si="67"/>
        <v>1.06</v>
      </c>
      <c r="H261" s="5">
        <f t="shared" si="73"/>
        <v>164</v>
      </c>
      <c r="I261" s="4"/>
      <c r="J261" s="4">
        <v>0.06</v>
      </c>
      <c r="K261" s="5">
        <f t="shared" si="74"/>
        <v>126</v>
      </c>
      <c r="L261" s="4">
        <v>38</v>
      </c>
      <c r="M261" s="7">
        <f t="shared" si="75"/>
        <v>1.078095238095238</v>
      </c>
      <c r="N261" s="6"/>
    </row>
    <row r="262" spans="1:14" x14ac:dyDescent="0.25">
      <c r="A262" s="4">
        <v>2110</v>
      </c>
      <c r="B262" s="5">
        <f t="shared" si="68"/>
        <v>2274.6</v>
      </c>
      <c r="C262" s="5">
        <f t="shared" si="69"/>
        <v>671.63385984779836</v>
      </c>
      <c r="D262" s="34">
        <f t="shared" si="70"/>
        <v>683.63385984779836</v>
      </c>
      <c r="E262" s="34">
        <f t="shared" si="71"/>
        <v>2147.6991118430774</v>
      </c>
      <c r="F262" s="39">
        <f t="shared" si="72"/>
        <v>1073.8495559215387</v>
      </c>
      <c r="G262" s="46">
        <f t="shared" ref="G262:G325" si="76">ROUNDUP(B262/E262,2)</f>
        <v>1.06</v>
      </c>
      <c r="H262" s="5">
        <f t="shared" si="73"/>
        <v>164.6</v>
      </c>
      <c r="I262" s="4"/>
      <c r="J262" s="4">
        <v>0.06</v>
      </c>
      <c r="K262" s="5">
        <f t="shared" si="74"/>
        <v>126.6</v>
      </c>
      <c r="L262" s="4">
        <v>38</v>
      </c>
      <c r="M262" s="7">
        <f t="shared" si="75"/>
        <v>1.0780094786729857</v>
      </c>
      <c r="N262" s="6"/>
    </row>
    <row r="263" spans="1:14" x14ac:dyDescent="0.25">
      <c r="A263" s="4">
        <v>2120</v>
      </c>
      <c r="B263" s="5">
        <f t="shared" si="68"/>
        <v>2285.1999999999998</v>
      </c>
      <c r="C263" s="5">
        <f t="shared" si="69"/>
        <v>674.8169587096362</v>
      </c>
      <c r="D263" s="34">
        <f t="shared" si="70"/>
        <v>686.8169587096362</v>
      </c>
      <c r="E263" s="34">
        <f t="shared" si="71"/>
        <v>2157.6991118430774</v>
      </c>
      <c r="F263" s="39">
        <f t="shared" si="72"/>
        <v>1078.8495559215387</v>
      </c>
      <c r="G263" s="46">
        <f t="shared" si="76"/>
        <v>1.06</v>
      </c>
      <c r="H263" s="5">
        <f t="shared" si="73"/>
        <v>165.2</v>
      </c>
      <c r="I263" s="4"/>
      <c r="J263" s="4">
        <v>0.06</v>
      </c>
      <c r="K263" s="5">
        <f t="shared" si="74"/>
        <v>127.19999999999999</v>
      </c>
      <c r="L263" s="4">
        <v>38</v>
      </c>
      <c r="M263" s="7">
        <f t="shared" si="75"/>
        <v>1.0779245283018868</v>
      </c>
      <c r="N263" s="6"/>
    </row>
    <row r="264" spans="1:14" x14ac:dyDescent="0.25">
      <c r="A264" s="4">
        <v>2130</v>
      </c>
      <c r="B264" s="5">
        <f t="shared" si="68"/>
        <v>2295.8000000000002</v>
      </c>
      <c r="C264" s="5">
        <f t="shared" si="69"/>
        <v>678.00005757147414</v>
      </c>
      <c r="D264" s="34">
        <f t="shared" si="70"/>
        <v>690.00005757147414</v>
      </c>
      <c r="E264" s="34">
        <f t="shared" si="71"/>
        <v>2167.6991118430774</v>
      </c>
      <c r="F264" s="39">
        <f t="shared" si="72"/>
        <v>1083.8495559215387</v>
      </c>
      <c r="G264" s="46">
        <f t="shared" si="76"/>
        <v>1.06</v>
      </c>
      <c r="H264" s="5">
        <f t="shared" si="73"/>
        <v>165.8</v>
      </c>
      <c r="I264" s="4"/>
      <c r="J264" s="4">
        <v>0.06</v>
      </c>
      <c r="K264" s="5">
        <f t="shared" si="74"/>
        <v>127.8</v>
      </c>
      <c r="L264" s="4">
        <v>38</v>
      </c>
      <c r="M264" s="7">
        <f t="shared" si="75"/>
        <v>1.0778403755868546</v>
      </c>
      <c r="N264" s="6"/>
    </row>
    <row r="265" spans="1:14" x14ac:dyDescent="0.25">
      <c r="A265" s="4">
        <v>2140</v>
      </c>
      <c r="B265" s="5">
        <f t="shared" si="68"/>
        <v>2306.4</v>
      </c>
      <c r="C265" s="5">
        <f t="shared" si="69"/>
        <v>681.18315643331209</v>
      </c>
      <c r="D265" s="34">
        <f t="shared" si="70"/>
        <v>693.18315643331209</v>
      </c>
      <c r="E265" s="34">
        <f t="shared" si="71"/>
        <v>2177.6991118430774</v>
      </c>
      <c r="F265" s="39">
        <f t="shared" si="72"/>
        <v>1088.8495559215387</v>
      </c>
      <c r="G265" s="46">
        <f t="shared" si="76"/>
        <v>1.06</v>
      </c>
      <c r="H265" s="5">
        <f t="shared" si="73"/>
        <v>166.4</v>
      </c>
      <c r="I265" s="4"/>
      <c r="J265" s="4">
        <v>0.06</v>
      </c>
      <c r="K265" s="5">
        <f t="shared" si="74"/>
        <v>128.4</v>
      </c>
      <c r="L265" s="4">
        <v>38</v>
      </c>
      <c r="M265" s="7">
        <f t="shared" si="75"/>
        <v>1.0777570093457944</v>
      </c>
      <c r="N265" s="6"/>
    </row>
    <row r="266" spans="1:14" x14ac:dyDescent="0.25">
      <c r="A266" s="4">
        <v>2150</v>
      </c>
      <c r="B266" s="5">
        <f t="shared" si="68"/>
        <v>2317</v>
      </c>
      <c r="C266" s="5">
        <f t="shared" si="69"/>
        <v>684.36625529514993</v>
      </c>
      <c r="D266" s="34">
        <f t="shared" si="70"/>
        <v>696.36625529514993</v>
      </c>
      <c r="E266" s="34">
        <f t="shared" si="71"/>
        <v>2187.6991118430774</v>
      </c>
      <c r="F266" s="39">
        <f t="shared" si="72"/>
        <v>1093.8495559215387</v>
      </c>
      <c r="G266" s="46">
        <f t="shared" si="76"/>
        <v>1.06</v>
      </c>
      <c r="H266" s="5">
        <f t="shared" si="73"/>
        <v>167</v>
      </c>
      <c r="I266" s="4"/>
      <c r="J266" s="4">
        <v>0.06</v>
      </c>
      <c r="K266" s="5">
        <f t="shared" si="74"/>
        <v>129</v>
      </c>
      <c r="L266" s="4">
        <v>38</v>
      </c>
      <c r="M266" s="7">
        <f t="shared" si="75"/>
        <v>1.0776744186046512</v>
      </c>
      <c r="N266" s="6"/>
    </row>
    <row r="267" spans="1:14" x14ac:dyDescent="0.25">
      <c r="A267" s="4">
        <v>2160</v>
      </c>
      <c r="B267" s="5">
        <f t="shared" si="68"/>
        <v>2327.6</v>
      </c>
      <c r="C267" s="5">
        <f t="shared" si="69"/>
        <v>687.54935415698787</v>
      </c>
      <c r="D267" s="34">
        <f t="shared" si="70"/>
        <v>699.54935415698787</v>
      </c>
      <c r="E267" s="34">
        <f t="shared" si="71"/>
        <v>2197.6991118430774</v>
      </c>
      <c r="F267" s="39">
        <f t="shared" si="72"/>
        <v>1098.8495559215387</v>
      </c>
      <c r="G267" s="46">
        <f t="shared" si="76"/>
        <v>1.06</v>
      </c>
      <c r="H267" s="5">
        <f t="shared" si="73"/>
        <v>167.6</v>
      </c>
      <c r="I267" s="4"/>
      <c r="J267" s="4">
        <v>0.06</v>
      </c>
      <c r="K267" s="5">
        <f t="shared" si="74"/>
        <v>129.6</v>
      </c>
      <c r="L267" s="4">
        <v>38</v>
      </c>
      <c r="M267" s="7">
        <f t="shared" si="75"/>
        <v>1.0775925925925927</v>
      </c>
      <c r="N267" s="6"/>
    </row>
    <row r="268" spans="1:14" x14ac:dyDescent="0.25">
      <c r="A268" s="4">
        <v>2170</v>
      </c>
      <c r="B268" s="5">
        <f t="shared" si="68"/>
        <v>2338.1999999999998</v>
      </c>
      <c r="C268" s="5">
        <f t="shared" si="69"/>
        <v>690.73245301882582</v>
      </c>
      <c r="D268" s="34">
        <f t="shared" si="70"/>
        <v>702.73245301882582</v>
      </c>
      <c r="E268" s="34">
        <f t="shared" si="71"/>
        <v>2207.6991118430778</v>
      </c>
      <c r="F268" s="39">
        <f t="shared" si="72"/>
        <v>1103.8495559215389</v>
      </c>
      <c r="G268" s="46">
        <f t="shared" si="76"/>
        <v>1.06</v>
      </c>
      <c r="H268" s="5">
        <f t="shared" si="73"/>
        <v>168.2</v>
      </c>
      <c r="I268" s="4"/>
      <c r="J268" s="4">
        <v>0.06</v>
      </c>
      <c r="K268" s="5">
        <f t="shared" si="74"/>
        <v>130.19999999999999</v>
      </c>
      <c r="L268" s="4">
        <v>38</v>
      </c>
      <c r="M268" s="7">
        <f t="shared" si="75"/>
        <v>1.0775115207373271</v>
      </c>
      <c r="N268" s="6"/>
    </row>
    <row r="269" spans="1:14" x14ac:dyDescent="0.25">
      <c r="A269" s="4">
        <v>2180</v>
      </c>
      <c r="B269" s="5">
        <f t="shared" si="68"/>
        <v>2348.8000000000002</v>
      </c>
      <c r="C269" s="5">
        <f t="shared" si="69"/>
        <v>693.91555188066366</v>
      </c>
      <c r="D269" s="34">
        <f t="shared" si="70"/>
        <v>705.91555188066366</v>
      </c>
      <c r="E269" s="34">
        <f t="shared" si="71"/>
        <v>2217.6991118430774</v>
      </c>
      <c r="F269" s="39">
        <f t="shared" si="72"/>
        <v>1108.8495559215387</v>
      </c>
      <c r="G269" s="46">
        <f t="shared" si="76"/>
        <v>1.06</v>
      </c>
      <c r="H269" s="5">
        <f t="shared" si="73"/>
        <v>168.79999999999998</v>
      </c>
      <c r="I269" s="4"/>
      <c r="J269" s="4">
        <v>0.06</v>
      </c>
      <c r="K269" s="5">
        <f t="shared" si="74"/>
        <v>130.79999999999998</v>
      </c>
      <c r="L269" s="4">
        <v>38</v>
      </c>
      <c r="M269" s="7">
        <f t="shared" si="75"/>
        <v>1.0774311926605507</v>
      </c>
      <c r="N269" s="6"/>
    </row>
    <row r="270" spans="1:14" x14ac:dyDescent="0.25">
      <c r="A270" s="4">
        <v>2190</v>
      </c>
      <c r="B270" s="5">
        <f t="shared" si="68"/>
        <v>2359.4</v>
      </c>
      <c r="C270" s="5">
        <f t="shared" si="69"/>
        <v>697.0986507425016</v>
      </c>
      <c r="D270" s="34">
        <f t="shared" si="70"/>
        <v>709.0986507425016</v>
      </c>
      <c r="E270" s="34">
        <f t="shared" si="71"/>
        <v>2227.6991118430774</v>
      </c>
      <c r="F270" s="39">
        <f t="shared" si="72"/>
        <v>1113.8495559215387</v>
      </c>
      <c r="G270" s="46">
        <f t="shared" si="76"/>
        <v>1.06</v>
      </c>
      <c r="H270" s="5">
        <f t="shared" si="73"/>
        <v>169.4</v>
      </c>
      <c r="I270" s="4"/>
      <c r="J270" s="4">
        <v>0.06</v>
      </c>
      <c r="K270" s="5">
        <f t="shared" si="74"/>
        <v>131.4</v>
      </c>
      <c r="L270" s="4">
        <v>38</v>
      </c>
      <c r="M270" s="7">
        <f t="shared" si="75"/>
        <v>1.077351598173516</v>
      </c>
      <c r="N270" s="6"/>
    </row>
    <row r="271" spans="1:14" x14ac:dyDescent="0.25">
      <c r="A271" s="4">
        <v>2200</v>
      </c>
      <c r="B271" s="5">
        <f t="shared" si="68"/>
        <v>2370</v>
      </c>
      <c r="C271" s="5">
        <f t="shared" si="69"/>
        <v>700.28174960433955</v>
      </c>
      <c r="D271" s="34">
        <f t="shared" si="70"/>
        <v>712.28174960433955</v>
      </c>
      <c r="E271" s="34">
        <f t="shared" si="71"/>
        <v>2237.6991118430778</v>
      </c>
      <c r="F271" s="39">
        <f t="shared" si="72"/>
        <v>1118.8495559215389</v>
      </c>
      <c r="G271" s="46">
        <f t="shared" si="76"/>
        <v>1.06</v>
      </c>
      <c r="H271" s="5">
        <f t="shared" si="73"/>
        <v>170</v>
      </c>
      <c r="I271" s="4"/>
      <c r="J271" s="4">
        <v>0.06</v>
      </c>
      <c r="K271" s="5">
        <f t="shared" si="74"/>
        <v>132</v>
      </c>
      <c r="L271" s="4">
        <v>38</v>
      </c>
      <c r="M271" s="7">
        <f t="shared" si="75"/>
        <v>1.0772727272727274</v>
      </c>
      <c r="N271" s="6"/>
    </row>
    <row r="272" spans="1:14" x14ac:dyDescent="0.25">
      <c r="A272" s="4">
        <v>2210</v>
      </c>
      <c r="B272" s="5">
        <f t="shared" si="68"/>
        <v>2380.6</v>
      </c>
      <c r="C272" s="5">
        <f t="shared" si="69"/>
        <v>703.46484846617739</v>
      </c>
      <c r="D272" s="34">
        <f t="shared" si="70"/>
        <v>715.46484846617739</v>
      </c>
      <c r="E272" s="34">
        <f t="shared" si="71"/>
        <v>2247.6991118430774</v>
      </c>
      <c r="F272" s="39">
        <f t="shared" si="72"/>
        <v>1123.8495559215387</v>
      </c>
      <c r="G272" s="46">
        <f t="shared" si="76"/>
        <v>1.06</v>
      </c>
      <c r="H272" s="5">
        <f t="shared" si="73"/>
        <v>170.6</v>
      </c>
      <c r="I272" s="4"/>
      <c r="J272" s="4">
        <v>0.06</v>
      </c>
      <c r="K272" s="5">
        <f t="shared" si="74"/>
        <v>132.6</v>
      </c>
      <c r="L272" s="4">
        <v>38</v>
      </c>
      <c r="M272" s="7">
        <f t="shared" si="75"/>
        <v>1.0771945701357466</v>
      </c>
      <c r="N272" s="6"/>
    </row>
    <row r="273" spans="1:14" x14ac:dyDescent="0.25">
      <c r="A273" s="4">
        <v>2220</v>
      </c>
      <c r="B273" s="5">
        <f t="shared" si="68"/>
        <v>2391.1999999999998</v>
      </c>
      <c r="C273" s="5">
        <f t="shared" si="69"/>
        <v>706.64794732801533</v>
      </c>
      <c r="D273" s="34">
        <f t="shared" si="70"/>
        <v>718.64794732801533</v>
      </c>
      <c r="E273" s="34">
        <f t="shared" si="71"/>
        <v>2257.6991118430774</v>
      </c>
      <c r="F273" s="39">
        <f t="shared" si="72"/>
        <v>1128.8495559215387</v>
      </c>
      <c r="G273" s="46">
        <f t="shared" si="76"/>
        <v>1.06</v>
      </c>
      <c r="H273" s="5">
        <f t="shared" si="73"/>
        <v>171.2</v>
      </c>
      <c r="I273" s="4"/>
      <c r="J273" s="4">
        <v>0.06</v>
      </c>
      <c r="K273" s="5">
        <f t="shared" si="74"/>
        <v>133.19999999999999</v>
      </c>
      <c r="L273" s="4">
        <v>38</v>
      </c>
      <c r="M273" s="7">
        <f t="shared" si="75"/>
        <v>1.077117117117117</v>
      </c>
      <c r="N273" s="6"/>
    </row>
    <row r="274" spans="1:14" x14ac:dyDescent="0.25">
      <c r="A274" s="4">
        <v>2230</v>
      </c>
      <c r="B274" s="5">
        <f t="shared" si="68"/>
        <v>2401.8000000000002</v>
      </c>
      <c r="C274" s="5">
        <f t="shared" si="69"/>
        <v>709.83104618985317</v>
      </c>
      <c r="D274" s="34">
        <f t="shared" si="70"/>
        <v>721.83104618985317</v>
      </c>
      <c r="E274" s="34">
        <f t="shared" si="71"/>
        <v>2267.6991118430774</v>
      </c>
      <c r="F274" s="39">
        <f t="shared" si="72"/>
        <v>1133.8495559215387</v>
      </c>
      <c r="G274" s="46">
        <f t="shared" si="76"/>
        <v>1.06</v>
      </c>
      <c r="H274" s="5">
        <f t="shared" si="73"/>
        <v>171.79999999999998</v>
      </c>
      <c r="I274" s="4"/>
      <c r="J274" s="4">
        <v>0.06</v>
      </c>
      <c r="K274" s="5">
        <f t="shared" si="74"/>
        <v>133.79999999999998</v>
      </c>
      <c r="L274" s="4">
        <v>38</v>
      </c>
      <c r="M274" s="7">
        <f t="shared" si="75"/>
        <v>1.0770403587443946</v>
      </c>
      <c r="N274" s="6"/>
    </row>
    <row r="275" spans="1:14" x14ac:dyDescent="0.25">
      <c r="A275" s="4">
        <v>2240</v>
      </c>
      <c r="B275" s="5">
        <f t="shared" si="68"/>
        <v>2412.4</v>
      </c>
      <c r="C275" s="5">
        <f t="shared" si="69"/>
        <v>713.01414505169112</v>
      </c>
      <c r="D275" s="34">
        <f t="shared" si="70"/>
        <v>725.01414505169112</v>
      </c>
      <c r="E275" s="34">
        <f t="shared" si="71"/>
        <v>2277.6991118430774</v>
      </c>
      <c r="F275" s="39">
        <f t="shared" si="72"/>
        <v>1138.8495559215387</v>
      </c>
      <c r="G275" s="46">
        <f t="shared" si="76"/>
        <v>1.06</v>
      </c>
      <c r="H275" s="5">
        <f t="shared" si="73"/>
        <v>172.4</v>
      </c>
      <c r="I275" s="4"/>
      <c r="J275" s="4">
        <v>0.06</v>
      </c>
      <c r="K275" s="5">
        <f t="shared" si="74"/>
        <v>134.4</v>
      </c>
      <c r="L275" s="4">
        <v>38</v>
      </c>
      <c r="M275" s="7">
        <f t="shared" si="75"/>
        <v>1.0769642857142858</v>
      </c>
      <c r="N275" s="6"/>
    </row>
    <row r="276" spans="1:14" x14ac:dyDescent="0.25">
      <c r="A276" s="4">
        <v>2250</v>
      </c>
      <c r="B276" s="5">
        <f t="shared" si="68"/>
        <v>2423</v>
      </c>
      <c r="C276" s="5">
        <f t="shared" si="69"/>
        <v>716.19724391352906</v>
      </c>
      <c r="D276" s="34">
        <f t="shared" si="70"/>
        <v>728.19724391352906</v>
      </c>
      <c r="E276" s="34">
        <f t="shared" si="71"/>
        <v>2287.6991118430774</v>
      </c>
      <c r="F276" s="39">
        <f t="shared" si="72"/>
        <v>1143.8495559215387</v>
      </c>
      <c r="G276" s="46">
        <f t="shared" si="76"/>
        <v>1.06</v>
      </c>
      <c r="H276" s="5">
        <f t="shared" si="73"/>
        <v>173</v>
      </c>
      <c r="I276" s="4"/>
      <c r="J276" s="4">
        <v>0.06</v>
      </c>
      <c r="K276" s="5">
        <f t="shared" si="74"/>
        <v>135</v>
      </c>
      <c r="L276" s="4">
        <v>38</v>
      </c>
      <c r="M276" s="7">
        <f t="shared" si="75"/>
        <v>1.0768888888888888</v>
      </c>
      <c r="N276" s="6"/>
    </row>
    <row r="277" spans="1:14" x14ac:dyDescent="0.25">
      <c r="A277" s="4">
        <v>2260</v>
      </c>
      <c r="B277" s="5">
        <f t="shared" si="68"/>
        <v>2433.6</v>
      </c>
      <c r="C277" s="5">
        <f t="shared" si="69"/>
        <v>719.3803427753669</v>
      </c>
      <c r="D277" s="34">
        <f t="shared" si="70"/>
        <v>731.3803427753669</v>
      </c>
      <c r="E277" s="34">
        <f t="shared" si="71"/>
        <v>2297.6991118430774</v>
      </c>
      <c r="F277" s="39">
        <f t="shared" si="72"/>
        <v>1148.8495559215387</v>
      </c>
      <c r="G277" s="46">
        <f t="shared" si="76"/>
        <v>1.06</v>
      </c>
      <c r="H277" s="5">
        <f t="shared" si="73"/>
        <v>173.6</v>
      </c>
      <c r="I277" s="4"/>
      <c r="J277" s="4">
        <v>0.06</v>
      </c>
      <c r="K277" s="5">
        <f t="shared" si="74"/>
        <v>135.6</v>
      </c>
      <c r="L277" s="4">
        <v>38</v>
      </c>
      <c r="M277" s="7">
        <f t="shared" si="75"/>
        <v>1.0768141592920353</v>
      </c>
      <c r="N277" s="6"/>
    </row>
    <row r="278" spans="1:14" x14ac:dyDescent="0.25">
      <c r="A278" s="4">
        <v>2270</v>
      </c>
      <c r="B278" s="5">
        <f t="shared" si="68"/>
        <v>2444.1999999999998</v>
      </c>
      <c r="C278" s="5">
        <f t="shared" si="69"/>
        <v>722.56344163720485</v>
      </c>
      <c r="D278" s="34">
        <f t="shared" si="70"/>
        <v>734.56344163720485</v>
      </c>
      <c r="E278" s="34">
        <f t="shared" si="71"/>
        <v>2307.6991118430774</v>
      </c>
      <c r="F278" s="39">
        <f t="shared" si="72"/>
        <v>1153.8495559215387</v>
      </c>
      <c r="G278" s="46">
        <f t="shared" si="76"/>
        <v>1.06</v>
      </c>
      <c r="H278" s="5">
        <f t="shared" si="73"/>
        <v>174.2</v>
      </c>
      <c r="I278" s="4"/>
      <c r="J278" s="4">
        <v>0.06</v>
      </c>
      <c r="K278" s="5">
        <f t="shared" si="74"/>
        <v>136.19999999999999</v>
      </c>
      <c r="L278" s="4">
        <v>38</v>
      </c>
      <c r="M278" s="7">
        <f t="shared" si="75"/>
        <v>1.0767400881057267</v>
      </c>
      <c r="N278" s="6"/>
    </row>
    <row r="279" spans="1:14" x14ac:dyDescent="0.25">
      <c r="A279" s="4">
        <v>2280</v>
      </c>
      <c r="B279" s="5">
        <f t="shared" si="68"/>
        <v>2454.8000000000002</v>
      </c>
      <c r="C279" s="5">
        <f t="shared" si="69"/>
        <v>725.74654049904279</v>
      </c>
      <c r="D279" s="34">
        <f t="shared" si="70"/>
        <v>737.74654049904279</v>
      </c>
      <c r="E279" s="34">
        <f t="shared" si="71"/>
        <v>2317.6991118430778</v>
      </c>
      <c r="F279" s="39">
        <f t="shared" si="72"/>
        <v>1158.8495559215389</v>
      </c>
      <c r="G279" s="46">
        <f t="shared" si="76"/>
        <v>1.06</v>
      </c>
      <c r="H279" s="5">
        <f t="shared" si="73"/>
        <v>174.79999999999998</v>
      </c>
      <c r="I279" s="4"/>
      <c r="J279" s="4">
        <v>0.06</v>
      </c>
      <c r="K279" s="5">
        <f t="shared" si="74"/>
        <v>136.79999999999998</v>
      </c>
      <c r="L279" s="4">
        <v>38</v>
      </c>
      <c r="M279" s="7">
        <f t="shared" si="75"/>
        <v>1.0766666666666667</v>
      </c>
      <c r="N279" s="6"/>
    </row>
    <row r="280" spans="1:14" x14ac:dyDescent="0.25">
      <c r="A280" s="4">
        <v>2290</v>
      </c>
      <c r="B280" s="5">
        <f t="shared" si="68"/>
        <v>2465.4</v>
      </c>
      <c r="C280" s="5">
        <f t="shared" si="69"/>
        <v>728.92963936088063</v>
      </c>
      <c r="D280" s="34">
        <f t="shared" si="70"/>
        <v>740.92963936088063</v>
      </c>
      <c r="E280" s="34">
        <f t="shared" si="71"/>
        <v>2327.6991118430774</v>
      </c>
      <c r="F280" s="39">
        <f t="shared" si="72"/>
        <v>1163.8495559215387</v>
      </c>
      <c r="G280" s="46">
        <f t="shared" si="76"/>
        <v>1.06</v>
      </c>
      <c r="H280" s="5">
        <f t="shared" si="73"/>
        <v>175.4</v>
      </c>
      <c r="I280" s="4"/>
      <c r="J280" s="4">
        <v>0.06</v>
      </c>
      <c r="K280" s="5">
        <f t="shared" si="74"/>
        <v>137.4</v>
      </c>
      <c r="L280" s="4">
        <v>38</v>
      </c>
      <c r="M280" s="7">
        <f t="shared" si="75"/>
        <v>1.0765938864628821</v>
      </c>
      <c r="N280" s="6"/>
    </row>
    <row r="281" spans="1:14" x14ac:dyDescent="0.25">
      <c r="A281" s="4">
        <v>2300</v>
      </c>
      <c r="B281" s="5">
        <f t="shared" si="68"/>
        <v>2476</v>
      </c>
      <c r="C281" s="5">
        <f t="shared" si="69"/>
        <v>732.11273822271858</v>
      </c>
      <c r="D281" s="34">
        <f t="shared" si="70"/>
        <v>744.11273822271858</v>
      </c>
      <c r="E281" s="34">
        <f t="shared" si="71"/>
        <v>2337.6991118430774</v>
      </c>
      <c r="F281" s="39">
        <f t="shared" si="72"/>
        <v>1168.8495559215387</v>
      </c>
      <c r="G281" s="46">
        <f t="shared" si="76"/>
        <v>1.06</v>
      </c>
      <c r="H281" s="5">
        <f t="shared" si="73"/>
        <v>176</v>
      </c>
      <c r="I281" s="4"/>
      <c r="J281" s="4">
        <v>0.06</v>
      </c>
      <c r="K281" s="5">
        <f t="shared" si="74"/>
        <v>138</v>
      </c>
      <c r="L281" s="4">
        <v>38</v>
      </c>
      <c r="M281" s="7">
        <f t="shared" si="75"/>
        <v>1.0765217391304347</v>
      </c>
      <c r="N281" s="6"/>
    </row>
    <row r="282" spans="1:14" x14ac:dyDescent="0.25">
      <c r="A282" s="4">
        <v>2310</v>
      </c>
      <c r="B282" s="5">
        <f t="shared" si="68"/>
        <v>2486.6</v>
      </c>
      <c r="C282" s="5">
        <f t="shared" si="69"/>
        <v>735.29583708455652</v>
      </c>
      <c r="D282" s="34">
        <f t="shared" si="70"/>
        <v>747.29583708455652</v>
      </c>
      <c r="E282" s="34">
        <f t="shared" si="71"/>
        <v>2347.6991118430778</v>
      </c>
      <c r="F282" s="39">
        <f t="shared" si="72"/>
        <v>1173.8495559215389</v>
      </c>
      <c r="G282" s="46">
        <f t="shared" si="76"/>
        <v>1.06</v>
      </c>
      <c r="H282" s="5">
        <f t="shared" si="73"/>
        <v>176.6</v>
      </c>
      <c r="I282" s="4"/>
      <c r="J282" s="4">
        <v>0.06</v>
      </c>
      <c r="K282" s="5">
        <f t="shared" si="74"/>
        <v>138.6</v>
      </c>
      <c r="L282" s="4">
        <v>38</v>
      </c>
      <c r="M282" s="7">
        <f t="shared" si="75"/>
        <v>1.0764502164502163</v>
      </c>
      <c r="N282" s="6"/>
    </row>
    <row r="283" spans="1:14" x14ac:dyDescent="0.25">
      <c r="A283" s="4">
        <v>2320</v>
      </c>
      <c r="B283" s="5">
        <f t="shared" si="68"/>
        <v>2497.1999999999998</v>
      </c>
      <c r="C283" s="5">
        <f t="shared" si="69"/>
        <v>738.47893594639436</v>
      </c>
      <c r="D283" s="34">
        <f t="shared" si="70"/>
        <v>750.47893594639436</v>
      </c>
      <c r="E283" s="34">
        <f t="shared" si="71"/>
        <v>2357.6991118430774</v>
      </c>
      <c r="F283" s="39">
        <f t="shared" si="72"/>
        <v>1178.8495559215387</v>
      </c>
      <c r="G283" s="46">
        <f t="shared" si="76"/>
        <v>1.06</v>
      </c>
      <c r="H283" s="5">
        <f t="shared" si="73"/>
        <v>177.2</v>
      </c>
      <c r="I283" s="4"/>
      <c r="J283" s="4">
        <v>0.06</v>
      </c>
      <c r="K283" s="5">
        <f t="shared" si="74"/>
        <v>139.19999999999999</v>
      </c>
      <c r="L283" s="4">
        <v>38</v>
      </c>
      <c r="M283" s="7">
        <f t="shared" si="75"/>
        <v>1.0763793103448276</v>
      </c>
      <c r="N283" s="6"/>
    </row>
    <row r="284" spans="1:14" x14ac:dyDescent="0.25">
      <c r="A284" s="4">
        <v>2330</v>
      </c>
      <c r="B284" s="5">
        <f t="shared" si="68"/>
        <v>2507.8000000000002</v>
      </c>
      <c r="C284" s="5">
        <f t="shared" si="69"/>
        <v>741.66203480823231</v>
      </c>
      <c r="D284" s="34">
        <f t="shared" si="70"/>
        <v>753.66203480823231</v>
      </c>
      <c r="E284" s="34">
        <f t="shared" si="71"/>
        <v>2367.6991118430774</v>
      </c>
      <c r="F284" s="39">
        <f t="shared" si="72"/>
        <v>1183.8495559215387</v>
      </c>
      <c r="G284" s="46">
        <f t="shared" si="76"/>
        <v>1.06</v>
      </c>
      <c r="H284" s="5">
        <f t="shared" si="73"/>
        <v>177.79999999999998</v>
      </c>
      <c r="I284" s="4"/>
      <c r="J284" s="4">
        <v>0.06</v>
      </c>
      <c r="K284" s="5">
        <f t="shared" si="74"/>
        <v>139.79999999999998</v>
      </c>
      <c r="L284" s="4">
        <v>38</v>
      </c>
      <c r="M284" s="7">
        <f t="shared" si="75"/>
        <v>1.0763090128755366</v>
      </c>
      <c r="N284" s="6"/>
    </row>
    <row r="285" spans="1:14" x14ac:dyDescent="0.25">
      <c r="A285" s="4">
        <v>2340</v>
      </c>
      <c r="B285" s="5">
        <f t="shared" si="68"/>
        <v>2518.4</v>
      </c>
      <c r="C285" s="5">
        <f t="shared" si="69"/>
        <v>744.84513367007025</v>
      </c>
      <c r="D285" s="34">
        <f t="shared" si="70"/>
        <v>756.84513367007025</v>
      </c>
      <c r="E285" s="34">
        <f t="shared" si="71"/>
        <v>2377.6991118430778</v>
      </c>
      <c r="F285" s="39">
        <f t="shared" si="72"/>
        <v>1188.8495559215389</v>
      </c>
      <c r="G285" s="46">
        <f t="shared" si="76"/>
        <v>1.06</v>
      </c>
      <c r="H285" s="5">
        <f t="shared" si="73"/>
        <v>178.4</v>
      </c>
      <c r="I285" s="4"/>
      <c r="J285" s="4">
        <v>0.06</v>
      </c>
      <c r="K285" s="5">
        <f t="shared" si="74"/>
        <v>140.4</v>
      </c>
      <c r="L285" s="4">
        <v>38</v>
      </c>
      <c r="M285" s="7">
        <f t="shared" si="75"/>
        <v>1.0762393162393162</v>
      </c>
      <c r="N285" s="6"/>
    </row>
    <row r="286" spans="1:14" x14ac:dyDescent="0.25">
      <c r="A286" s="4">
        <v>2350</v>
      </c>
      <c r="B286" s="5">
        <f t="shared" si="68"/>
        <v>2529</v>
      </c>
      <c r="C286" s="5">
        <f t="shared" si="69"/>
        <v>748.02823253190809</v>
      </c>
      <c r="D286" s="34">
        <f t="shared" si="70"/>
        <v>760.02823253190809</v>
      </c>
      <c r="E286" s="34">
        <f t="shared" si="71"/>
        <v>2387.6991118430774</v>
      </c>
      <c r="F286" s="39">
        <f t="shared" si="72"/>
        <v>1193.8495559215387</v>
      </c>
      <c r="G286" s="46">
        <f t="shared" si="76"/>
        <v>1.06</v>
      </c>
      <c r="H286" s="5">
        <f t="shared" si="73"/>
        <v>179</v>
      </c>
      <c r="I286" s="4"/>
      <c r="J286" s="4">
        <v>0.06</v>
      </c>
      <c r="K286" s="5">
        <f t="shared" si="74"/>
        <v>141</v>
      </c>
      <c r="L286" s="4">
        <v>38</v>
      </c>
      <c r="M286" s="7">
        <f t="shared" si="75"/>
        <v>1.0761702127659574</v>
      </c>
      <c r="N286" s="6"/>
    </row>
    <row r="287" spans="1:14" x14ac:dyDescent="0.25">
      <c r="A287" s="4">
        <v>2360</v>
      </c>
      <c r="B287" s="5">
        <f t="shared" si="68"/>
        <v>2539.6</v>
      </c>
      <c r="C287" s="5">
        <f t="shared" si="69"/>
        <v>751.21133139374604</v>
      </c>
      <c r="D287" s="34">
        <f t="shared" si="70"/>
        <v>763.21133139374604</v>
      </c>
      <c r="E287" s="34">
        <f t="shared" si="71"/>
        <v>2397.6991118430774</v>
      </c>
      <c r="F287" s="39">
        <f t="shared" si="72"/>
        <v>1198.8495559215387</v>
      </c>
      <c r="G287" s="46">
        <f t="shared" si="76"/>
        <v>1.06</v>
      </c>
      <c r="H287" s="5">
        <f t="shared" si="73"/>
        <v>179.6</v>
      </c>
      <c r="I287" s="4"/>
      <c r="J287" s="4">
        <v>0.06</v>
      </c>
      <c r="K287" s="5">
        <f t="shared" si="74"/>
        <v>141.6</v>
      </c>
      <c r="L287" s="4">
        <v>38</v>
      </c>
      <c r="M287" s="7">
        <f t="shared" si="75"/>
        <v>1.0761016949152542</v>
      </c>
      <c r="N287" s="6"/>
    </row>
    <row r="288" spans="1:14" x14ac:dyDescent="0.25">
      <c r="A288" s="4">
        <v>2370</v>
      </c>
      <c r="B288" s="5">
        <f t="shared" si="68"/>
        <v>2550.1999999999998</v>
      </c>
      <c r="C288" s="5">
        <f t="shared" si="69"/>
        <v>754.39443025558387</v>
      </c>
      <c r="D288" s="34">
        <f t="shared" si="70"/>
        <v>766.39443025558387</v>
      </c>
      <c r="E288" s="34">
        <f t="shared" si="71"/>
        <v>2407.6991118430774</v>
      </c>
      <c r="F288" s="39">
        <f t="shared" si="72"/>
        <v>1203.8495559215387</v>
      </c>
      <c r="G288" s="46">
        <f t="shared" si="76"/>
        <v>1.06</v>
      </c>
      <c r="H288" s="5">
        <f t="shared" si="73"/>
        <v>180.2</v>
      </c>
      <c r="I288" s="4"/>
      <c r="J288" s="4">
        <v>0.06</v>
      </c>
      <c r="K288" s="5">
        <f t="shared" si="74"/>
        <v>142.19999999999999</v>
      </c>
      <c r="L288" s="4">
        <v>38</v>
      </c>
      <c r="M288" s="7">
        <f t="shared" si="75"/>
        <v>1.0760337552742616</v>
      </c>
      <c r="N288" s="6"/>
    </row>
    <row r="289" spans="1:14" x14ac:dyDescent="0.25">
      <c r="A289" s="4">
        <v>2380</v>
      </c>
      <c r="B289" s="5">
        <f t="shared" si="68"/>
        <v>2560.8000000000002</v>
      </c>
      <c r="C289" s="5">
        <f t="shared" si="69"/>
        <v>757.57752911742182</v>
      </c>
      <c r="D289" s="34">
        <f t="shared" si="70"/>
        <v>769.57752911742182</v>
      </c>
      <c r="E289" s="34">
        <f t="shared" si="71"/>
        <v>2417.6991118430774</v>
      </c>
      <c r="F289" s="39">
        <f t="shared" si="72"/>
        <v>1208.8495559215387</v>
      </c>
      <c r="G289" s="46">
        <f t="shared" si="76"/>
        <v>1.06</v>
      </c>
      <c r="H289" s="5">
        <f t="shared" si="73"/>
        <v>180.79999999999998</v>
      </c>
      <c r="I289" s="4"/>
      <c r="J289" s="4">
        <v>0.06</v>
      </c>
      <c r="K289" s="5">
        <f t="shared" si="74"/>
        <v>142.79999999999998</v>
      </c>
      <c r="L289" s="4">
        <v>38</v>
      </c>
      <c r="M289" s="7">
        <f t="shared" si="75"/>
        <v>1.0759663865546218</v>
      </c>
      <c r="N289" s="6"/>
    </row>
    <row r="290" spans="1:14" x14ac:dyDescent="0.25">
      <c r="A290" s="4">
        <v>2390</v>
      </c>
      <c r="B290" s="5">
        <f t="shared" si="68"/>
        <v>2571.4</v>
      </c>
      <c r="C290" s="5">
        <f t="shared" si="69"/>
        <v>760.76062797925977</v>
      </c>
      <c r="D290" s="34">
        <f t="shared" si="70"/>
        <v>772.76062797925977</v>
      </c>
      <c r="E290" s="34">
        <f t="shared" si="71"/>
        <v>2427.6991118430774</v>
      </c>
      <c r="F290" s="39">
        <f t="shared" si="72"/>
        <v>1213.8495559215387</v>
      </c>
      <c r="G290" s="46">
        <f t="shared" si="76"/>
        <v>1.06</v>
      </c>
      <c r="H290" s="5">
        <f t="shared" si="73"/>
        <v>181.4</v>
      </c>
      <c r="I290" s="4"/>
      <c r="J290" s="4">
        <v>0.06</v>
      </c>
      <c r="K290" s="5">
        <f t="shared" si="74"/>
        <v>143.4</v>
      </c>
      <c r="L290" s="4">
        <v>38</v>
      </c>
      <c r="M290" s="7">
        <f t="shared" si="75"/>
        <v>1.0758995815899581</v>
      </c>
      <c r="N290" s="6"/>
    </row>
    <row r="291" spans="1:14" x14ac:dyDescent="0.25">
      <c r="A291" s="4">
        <v>2400</v>
      </c>
      <c r="B291" s="5">
        <f t="shared" si="68"/>
        <v>2582</v>
      </c>
      <c r="C291" s="5">
        <f t="shared" si="69"/>
        <v>763.9437268410976</v>
      </c>
      <c r="D291" s="34">
        <f t="shared" si="70"/>
        <v>775.9437268410976</v>
      </c>
      <c r="E291" s="34">
        <f t="shared" si="71"/>
        <v>2437.6991118430774</v>
      </c>
      <c r="F291" s="39">
        <f t="shared" si="72"/>
        <v>1218.8495559215387</v>
      </c>
      <c r="G291" s="46">
        <f t="shared" si="76"/>
        <v>1.06</v>
      </c>
      <c r="H291" s="5">
        <f t="shared" si="73"/>
        <v>182</v>
      </c>
      <c r="I291" s="4"/>
      <c r="J291" s="4">
        <v>0.06</v>
      </c>
      <c r="K291" s="5">
        <f t="shared" si="74"/>
        <v>144</v>
      </c>
      <c r="L291" s="4">
        <v>38</v>
      </c>
      <c r="M291" s="7">
        <f t="shared" si="75"/>
        <v>1.0758333333333334</v>
      </c>
      <c r="N291" s="6"/>
    </row>
    <row r="292" spans="1:14" x14ac:dyDescent="0.25">
      <c r="A292" s="4">
        <v>2410</v>
      </c>
      <c r="B292" s="5">
        <f t="shared" si="68"/>
        <v>2592.6</v>
      </c>
      <c r="C292" s="5">
        <f t="shared" si="69"/>
        <v>767.12682570293555</v>
      </c>
      <c r="D292" s="34">
        <f t="shared" si="70"/>
        <v>779.12682570293555</v>
      </c>
      <c r="E292" s="34">
        <f t="shared" si="71"/>
        <v>2447.6991118430774</v>
      </c>
      <c r="F292" s="39">
        <f t="shared" si="72"/>
        <v>1223.8495559215387</v>
      </c>
      <c r="G292" s="46">
        <f t="shared" si="76"/>
        <v>1.06</v>
      </c>
      <c r="H292" s="5">
        <f t="shared" si="73"/>
        <v>182.6</v>
      </c>
      <c r="I292" s="4"/>
      <c r="J292" s="4">
        <v>0.06</v>
      </c>
      <c r="K292" s="5">
        <f t="shared" si="74"/>
        <v>144.6</v>
      </c>
      <c r="L292" s="4">
        <v>38</v>
      </c>
      <c r="M292" s="7">
        <f t="shared" si="75"/>
        <v>1.0757676348547718</v>
      </c>
      <c r="N292" s="6"/>
    </row>
    <row r="293" spans="1:14" x14ac:dyDescent="0.25">
      <c r="A293" s="4">
        <v>2420</v>
      </c>
      <c r="B293" s="5">
        <f t="shared" si="68"/>
        <v>2603.1999999999998</v>
      </c>
      <c r="C293" s="5">
        <f t="shared" si="69"/>
        <v>770.3099245647735</v>
      </c>
      <c r="D293" s="34">
        <f t="shared" si="70"/>
        <v>782.3099245647735</v>
      </c>
      <c r="E293" s="34">
        <f t="shared" si="71"/>
        <v>2457.6991118430778</v>
      </c>
      <c r="F293" s="39">
        <f t="shared" si="72"/>
        <v>1228.8495559215389</v>
      </c>
      <c r="G293" s="46">
        <f t="shared" si="76"/>
        <v>1.06</v>
      </c>
      <c r="H293" s="5">
        <f t="shared" si="73"/>
        <v>183.2</v>
      </c>
      <c r="I293" s="4"/>
      <c r="J293" s="4">
        <v>0.06</v>
      </c>
      <c r="K293" s="5">
        <f t="shared" si="74"/>
        <v>145.19999999999999</v>
      </c>
      <c r="L293" s="4">
        <v>38</v>
      </c>
      <c r="M293" s="7">
        <f t="shared" si="75"/>
        <v>1.075702479338843</v>
      </c>
      <c r="N293" s="6"/>
    </row>
    <row r="294" spans="1:14" x14ac:dyDescent="0.25">
      <c r="A294" s="4">
        <v>2430</v>
      </c>
      <c r="B294" s="5">
        <f t="shared" si="68"/>
        <v>2613.8000000000002</v>
      </c>
      <c r="C294" s="5">
        <f t="shared" si="69"/>
        <v>773.49302342661133</v>
      </c>
      <c r="D294" s="34">
        <f t="shared" si="70"/>
        <v>785.49302342661133</v>
      </c>
      <c r="E294" s="34">
        <f t="shared" si="71"/>
        <v>2467.6991118430774</v>
      </c>
      <c r="F294" s="39">
        <f t="shared" si="72"/>
        <v>1233.8495559215387</v>
      </c>
      <c r="G294" s="46">
        <f t="shared" si="76"/>
        <v>1.06</v>
      </c>
      <c r="H294" s="5">
        <f t="shared" si="73"/>
        <v>183.79999999999998</v>
      </c>
      <c r="I294" s="4"/>
      <c r="J294" s="4">
        <v>0.06</v>
      </c>
      <c r="K294" s="5">
        <f t="shared" si="74"/>
        <v>145.79999999999998</v>
      </c>
      <c r="L294" s="4">
        <v>38</v>
      </c>
      <c r="M294" s="7">
        <f t="shared" si="75"/>
        <v>1.0756378600823047</v>
      </c>
      <c r="N294" s="6"/>
    </row>
    <row r="295" spans="1:14" x14ac:dyDescent="0.25">
      <c r="A295" s="4">
        <v>2440</v>
      </c>
      <c r="B295" s="5">
        <f t="shared" si="68"/>
        <v>2624.4</v>
      </c>
      <c r="C295" s="5">
        <f t="shared" si="69"/>
        <v>776.67612228844928</v>
      </c>
      <c r="D295" s="34">
        <f t="shared" si="70"/>
        <v>788.67612228844928</v>
      </c>
      <c r="E295" s="34">
        <f t="shared" si="71"/>
        <v>2477.6991118430774</v>
      </c>
      <c r="F295" s="39">
        <f t="shared" si="72"/>
        <v>1238.8495559215387</v>
      </c>
      <c r="G295" s="46">
        <f t="shared" si="76"/>
        <v>1.06</v>
      </c>
      <c r="H295" s="5">
        <f t="shared" si="73"/>
        <v>184.4</v>
      </c>
      <c r="I295" s="4"/>
      <c r="J295" s="4">
        <v>0.06</v>
      </c>
      <c r="K295" s="5">
        <f t="shared" si="74"/>
        <v>146.4</v>
      </c>
      <c r="L295" s="4">
        <v>38</v>
      </c>
      <c r="M295" s="7">
        <f t="shared" si="75"/>
        <v>1.0755737704918034</v>
      </c>
      <c r="N295" s="6"/>
    </row>
    <row r="296" spans="1:14" x14ac:dyDescent="0.25">
      <c r="A296" s="4">
        <v>2450</v>
      </c>
      <c r="B296" s="5">
        <f t="shared" si="68"/>
        <v>2635</v>
      </c>
      <c r="C296" s="5">
        <f t="shared" si="69"/>
        <v>779.85922115028723</v>
      </c>
      <c r="D296" s="34">
        <f t="shared" si="70"/>
        <v>791.85922115028723</v>
      </c>
      <c r="E296" s="34">
        <f t="shared" si="71"/>
        <v>2487.6991118430778</v>
      </c>
      <c r="F296" s="39">
        <f t="shared" si="72"/>
        <v>1243.8495559215389</v>
      </c>
      <c r="G296" s="46">
        <f t="shared" si="76"/>
        <v>1.06</v>
      </c>
      <c r="H296" s="5">
        <f t="shared" si="73"/>
        <v>185</v>
      </c>
      <c r="I296" s="4"/>
      <c r="J296" s="4">
        <v>0.06</v>
      </c>
      <c r="K296" s="5">
        <f t="shared" si="74"/>
        <v>147</v>
      </c>
      <c r="L296" s="4">
        <v>38</v>
      </c>
      <c r="M296" s="7">
        <f t="shared" si="75"/>
        <v>1.0755102040816327</v>
      </c>
      <c r="N296" s="6"/>
    </row>
    <row r="297" spans="1:14" x14ac:dyDescent="0.25">
      <c r="A297" s="4">
        <v>2460</v>
      </c>
      <c r="B297" s="5">
        <f t="shared" si="68"/>
        <v>2645.6</v>
      </c>
      <c r="C297" s="5">
        <f t="shared" si="69"/>
        <v>783.04232001212506</v>
      </c>
      <c r="D297" s="34">
        <f t="shared" si="70"/>
        <v>795.04232001212506</v>
      </c>
      <c r="E297" s="34">
        <f t="shared" si="71"/>
        <v>2497.6991118430774</v>
      </c>
      <c r="F297" s="39">
        <f t="shared" si="72"/>
        <v>1248.8495559215387</v>
      </c>
      <c r="G297" s="46">
        <f t="shared" si="76"/>
        <v>1.06</v>
      </c>
      <c r="H297" s="5">
        <f t="shared" si="73"/>
        <v>185.6</v>
      </c>
      <c r="I297" s="4"/>
      <c r="J297" s="4">
        <v>0.06</v>
      </c>
      <c r="K297" s="5">
        <f t="shared" si="74"/>
        <v>147.6</v>
      </c>
      <c r="L297" s="4">
        <v>38</v>
      </c>
      <c r="M297" s="7">
        <f t="shared" si="75"/>
        <v>1.0754471544715447</v>
      </c>
      <c r="N297" s="6"/>
    </row>
    <row r="298" spans="1:14" x14ac:dyDescent="0.25">
      <c r="A298" s="4">
        <v>2470</v>
      </c>
      <c r="B298" s="5">
        <f t="shared" si="68"/>
        <v>2656.2</v>
      </c>
      <c r="C298" s="5">
        <f t="shared" si="69"/>
        <v>786.22541887396301</v>
      </c>
      <c r="D298" s="34">
        <f t="shared" si="70"/>
        <v>798.22541887396301</v>
      </c>
      <c r="E298" s="34">
        <f t="shared" si="71"/>
        <v>2507.6991118430774</v>
      </c>
      <c r="F298" s="39">
        <f t="shared" si="72"/>
        <v>1253.8495559215387</v>
      </c>
      <c r="G298" s="46">
        <f t="shared" si="76"/>
        <v>1.06</v>
      </c>
      <c r="H298" s="5">
        <f t="shared" si="73"/>
        <v>186.2</v>
      </c>
      <c r="I298" s="4"/>
      <c r="J298" s="4">
        <v>0.06</v>
      </c>
      <c r="K298" s="5">
        <f t="shared" si="74"/>
        <v>148.19999999999999</v>
      </c>
      <c r="L298" s="4">
        <v>38</v>
      </c>
      <c r="M298" s="7">
        <f t="shared" si="75"/>
        <v>1.0753846153846154</v>
      </c>
      <c r="N298" s="6"/>
    </row>
    <row r="299" spans="1:14" x14ac:dyDescent="0.25">
      <c r="A299" s="4">
        <v>2480</v>
      </c>
      <c r="B299" s="5">
        <f t="shared" si="68"/>
        <v>2666.8</v>
      </c>
      <c r="C299" s="5">
        <f t="shared" si="69"/>
        <v>789.40851773580084</v>
      </c>
      <c r="D299" s="34">
        <f t="shared" si="70"/>
        <v>801.40851773580084</v>
      </c>
      <c r="E299" s="34">
        <f t="shared" si="71"/>
        <v>2517.6991118430774</v>
      </c>
      <c r="F299" s="39">
        <f t="shared" si="72"/>
        <v>1258.8495559215387</v>
      </c>
      <c r="G299" s="46">
        <f t="shared" si="76"/>
        <v>1.06</v>
      </c>
      <c r="H299" s="5">
        <f t="shared" si="73"/>
        <v>186.79999999999998</v>
      </c>
      <c r="I299" s="4"/>
      <c r="J299" s="4">
        <v>0.06</v>
      </c>
      <c r="K299" s="5">
        <f t="shared" si="74"/>
        <v>148.79999999999998</v>
      </c>
      <c r="L299" s="4">
        <v>38</v>
      </c>
      <c r="M299" s="7">
        <f t="shared" si="75"/>
        <v>1.0753225806451614</v>
      </c>
      <c r="N299" s="6"/>
    </row>
    <row r="300" spans="1:14" x14ac:dyDescent="0.25">
      <c r="A300" s="4">
        <v>2490</v>
      </c>
      <c r="B300" s="5">
        <f t="shared" si="68"/>
        <v>2677.4</v>
      </c>
      <c r="C300" s="5">
        <f t="shared" si="69"/>
        <v>792.59161659763879</v>
      </c>
      <c r="D300" s="34">
        <f t="shared" si="70"/>
        <v>804.59161659763879</v>
      </c>
      <c r="E300" s="34">
        <f t="shared" si="71"/>
        <v>2527.6991118430774</v>
      </c>
      <c r="F300" s="39">
        <f t="shared" si="72"/>
        <v>1263.8495559215387</v>
      </c>
      <c r="G300" s="46">
        <f t="shared" si="76"/>
        <v>1.06</v>
      </c>
      <c r="H300" s="5">
        <f t="shared" si="73"/>
        <v>187.4</v>
      </c>
      <c r="I300" s="4"/>
      <c r="J300" s="4">
        <v>0.06</v>
      </c>
      <c r="K300" s="5">
        <f t="shared" si="74"/>
        <v>149.4</v>
      </c>
      <c r="L300" s="4">
        <v>38</v>
      </c>
      <c r="M300" s="7">
        <f t="shared" si="75"/>
        <v>1.0752610441767068</v>
      </c>
      <c r="N300" s="6"/>
    </row>
    <row r="301" spans="1:14" x14ac:dyDescent="0.25">
      <c r="A301" s="4">
        <v>2500</v>
      </c>
      <c r="B301" s="5">
        <f t="shared" si="68"/>
        <v>2688</v>
      </c>
      <c r="C301" s="5">
        <f t="shared" si="69"/>
        <v>795.77471545947674</v>
      </c>
      <c r="D301" s="34">
        <f t="shared" si="70"/>
        <v>807.77471545947674</v>
      </c>
      <c r="E301" s="34">
        <f t="shared" si="71"/>
        <v>2537.6991118430774</v>
      </c>
      <c r="F301" s="39">
        <f t="shared" si="72"/>
        <v>1268.8495559215387</v>
      </c>
      <c r="G301" s="46">
        <f t="shared" si="76"/>
        <v>1.06</v>
      </c>
      <c r="H301" s="5">
        <f t="shared" si="73"/>
        <v>188</v>
      </c>
      <c r="I301" s="4"/>
      <c r="J301" s="4">
        <v>0.06</v>
      </c>
      <c r="K301" s="5">
        <f t="shared" si="74"/>
        <v>150</v>
      </c>
      <c r="L301" s="4">
        <v>38</v>
      </c>
      <c r="M301" s="7">
        <f t="shared" si="75"/>
        <v>1.0751999999999999</v>
      </c>
      <c r="N301" s="6"/>
    </row>
    <row r="302" spans="1:14" x14ac:dyDescent="0.25">
      <c r="A302" s="4">
        <v>2510</v>
      </c>
      <c r="B302" s="5">
        <f t="shared" ref="B302:B365" si="77">A302+K302+L302</f>
        <v>2698.6</v>
      </c>
      <c r="C302" s="5">
        <f t="shared" ref="C302:C365" si="78">A302/PI()</f>
        <v>798.95781432131457</v>
      </c>
      <c r="D302" s="34">
        <f t="shared" ref="D302:D365" si="79">C302+12</f>
        <v>810.95781432131457</v>
      </c>
      <c r="E302" s="34">
        <f t="shared" ref="E302:E365" si="80">D302*PI()</f>
        <v>2547.6991118430774</v>
      </c>
      <c r="F302" s="39">
        <f t="shared" ref="F302:F365" si="81">E302/2</f>
        <v>1273.8495559215387</v>
      </c>
      <c r="G302" s="46">
        <f t="shared" si="76"/>
        <v>1.06</v>
      </c>
      <c r="H302" s="5">
        <f t="shared" ref="H302:H365" si="82">K302+L302</f>
        <v>188.6</v>
      </c>
      <c r="I302" s="4"/>
      <c r="J302" s="4">
        <v>0.06</v>
      </c>
      <c r="K302" s="5">
        <f t="shared" ref="K302:K365" si="83">A302*J302</f>
        <v>150.6</v>
      </c>
      <c r="L302" s="4">
        <v>38</v>
      </c>
      <c r="M302" s="7">
        <f t="shared" ref="M302:M365" si="84">B302/A302</f>
        <v>1.0751394422310756</v>
      </c>
      <c r="N302" s="6"/>
    </row>
    <row r="303" spans="1:14" x14ac:dyDescent="0.25">
      <c r="A303" s="4">
        <v>2520</v>
      </c>
      <c r="B303" s="5">
        <f t="shared" si="77"/>
        <v>2709.2</v>
      </c>
      <c r="C303" s="5">
        <f t="shared" si="78"/>
        <v>802.14091318315252</v>
      </c>
      <c r="D303" s="34">
        <f t="shared" si="79"/>
        <v>814.14091318315252</v>
      </c>
      <c r="E303" s="34">
        <f t="shared" si="80"/>
        <v>2557.6991118430774</v>
      </c>
      <c r="F303" s="39">
        <f t="shared" si="81"/>
        <v>1278.8495559215387</v>
      </c>
      <c r="G303" s="46">
        <f t="shared" si="76"/>
        <v>1.06</v>
      </c>
      <c r="H303" s="5">
        <f t="shared" si="82"/>
        <v>189.2</v>
      </c>
      <c r="I303" s="4"/>
      <c r="J303" s="4">
        <v>0.06</v>
      </c>
      <c r="K303" s="5">
        <f t="shared" si="83"/>
        <v>151.19999999999999</v>
      </c>
      <c r="L303" s="4">
        <v>38</v>
      </c>
      <c r="M303" s="7">
        <f t="shared" si="84"/>
        <v>1.0750793650793651</v>
      </c>
      <c r="N303" s="6"/>
    </row>
    <row r="304" spans="1:14" x14ac:dyDescent="0.25">
      <c r="A304" s="4">
        <v>2530</v>
      </c>
      <c r="B304" s="5">
        <f t="shared" si="77"/>
        <v>2719.8</v>
      </c>
      <c r="C304" s="5">
        <f t="shared" si="78"/>
        <v>805.32401204499047</v>
      </c>
      <c r="D304" s="34">
        <f t="shared" si="79"/>
        <v>817.32401204499047</v>
      </c>
      <c r="E304" s="34">
        <f t="shared" si="80"/>
        <v>2567.6991118430778</v>
      </c>
      <c r="F304" s="39">
        <f t="shared" si="81"/>
        <v>1283.8495559215389</v>
      </c>
      <c r="G304" s="46">
        <f t="shared" si="76"/>
        <v>1.06</v>
      </c>
      <c r="H304" s="5">
        <f t="shared" si="82"/>
        <v>189.79999999999998</v>
      </c>
      <c r="I304" s="4"/>
      <c r="J304" s="4">
        <v>0.06</v>
      </c>
      <c r="K304" s="5">
        <f t="shared" si="83"/>
        <v>151.79999999999998</v>
      </c>
      <c r="L304" s="4">
        <v>38</v>
      </c>
      <c r="M304" s="7">
        <f t="shared" si="84"/>
        <v>1.0750197628458498</v>
      </c>
      <c r="N304" s="6"/>
    </row>
    <row r="305" spans="1:14" x14ac:dyDescent="0.25">
      <c r="A305" s="4">
        <v>2540</v>
      </c>
      <c r="B305" s="5">
        <f t="shared" si="77"/>
        <v>2730.4</v>
      </c>
      <c r="C305" s="5">
        <f t="shared" si="78"/>
        <v>808.5071109068283</v>
      </c>
      <c r="D305" s="34">
        <f t="shared" si="79"/>
        <v>820.5071109068283</v>
      </c>
      <c r="E305" s="34">
        <f t="shared" si="80"/>
        <v>2577.6991118430774</v>
      </c>
      <c r="F305" s="39">
        <f t="shared" si="81"/>
        <v>1288.8495559215387</v>
      </c>
      <c r="G305" s="46">
        <f t="shared" si="76"/>
        <v>1.06</v>
      </c>
      <c r="H305" s="5">
        <f t="shared" si="82"/>
        <v>190.4</v>
      </c>
      <c r="I305" s="4"/>
      <c r="J305" s="4">
        <v>0.06</v>
      </c>
      <c r="K305" s="5">
        <f t="shared" si="83"/>
        <v>152.4</v>
      </c>
      <c r="L305" s="4">
        <v>38</v>
      </c>
      <c r="M305" s="7">
        <f t="shared" si="84"/>
        <v>1.07496062992126</v>
      </c>
      <c r="N305" s="6"/>
    </row>
    <row r="306" spans="1:14" x14ac:dyDescent="0.25">
      <c r="A306" s="4">
        <v>2550</v>
      </c>
      <c r="B306" s="5">
        <f t="shared" si="77"/>
        <v>2741</v>
      </c>
      <c r="C306" s="5">
        <f t="shared" si="78"/>
        <v>811.69020976866625</v>
      </c>
      <c r="D306" s="34">
        <f t="shared" si="79"/>
        <v>823.69020976866625</v>
      </c>
      <c r="E306" s="34">
        <f t="shared" si="80"/>
        <v>2587.6991118430774</v>
      </c>
      <c r="F306" s="39">
        <f t="shared" si="81"/>
        <v>1293.8495559215387</v>
      </c>
      <c r="G306" s="46">
        <f t="shared" si="76"/>
        <v>1.06</v>
      </c>
      <c r="H306" s="5">
        <f t="shared" si="82"/>
        <v>191</v>
      </c>
      <c r="I306" s="4"/>
      <c r="J306" s="4">
        <v>0.06</v>
      </c>
      <c r="K306" s="5">
        <f t="shared" si="83"/>
        <v>153</v>
      </c>
      <c r="L306" s="4">
        <v>38</v>
      </c>
      <c r="M306" s="7">
        <f t="shared" si="84"/>
        <v>1.0749019607843138</v>
      </c>
      <c r="N306" s="6"/>
    </row>
    <row r="307" spans="1:14" x14ac:dyDescent="0.25">
      <c r="A307" s="4">
        <v>2560</v>
      </c>
      <c r="B307" s="5">
        <f t="shared" si="77"/>
        <v>2751.6</v>
      </c>
      <c r="C307" s="5">
        <f t="shared" si="78"/>
        <v>814.8733086305042</v>
      </c>
      <c r="D307" s="34">
        <f t="shared" si="79"/>
        <v>826.8733086305042</v>
      </c>
      <c r="E307" s="34">
        <f t="shared" si="80"/>
        <v>2597.6991118430778</v>
      </c>
      <c r="F307" s="39">
        <f t="shared" si="81"/>
        <v>1298.8495559215389</v>
      </c>
      <c r="G307" s="46">
        <f t="shared" si="76"/>
        <v>1.06</v>
      </c>
      <c r="H307" s="5">
        <f t="shared" si="82"/>
        <v>191.6</v>
      </c>
      <c r="I307" s="4"/>
      <c r="J307" s="4">
        <v>0.06</v>
      </c>
      <c r="K307" s="5">
        <f t="shared" si="83"/>
        <v>153.6</v>
      </c>
      <c r="L307" s="4">
        <v>38</v>
      </c>
      <c r="M307" s="7">
        <f t="shared" si="84"/>
        <v>1.0748437499999999</v>
      </c>
      <c r="N307" s="6"/>
    </row>
    <row r="308" spans="1:14" x14ac:dyDescent="0.25">
      <c r="A308" s="4">
        <v>2570</v>
      </c>
      <c r="B308" s="5">
        <f t="shared" si="77"/>
        <v>2762.2</v>
      </c>
      <c r="C308" s="5">
        <f t="shared" si="78"/>
        <v>818.05640749234203</v>
      </c>
      <c r="D308" s="34">
        <f t="shared" si="79"/>
        <v>830.05640749234203</v>
      </c>
      <c r="E308" s="34">
        <f t="shared" si="80"/>
        <v>2607.6991118430774</v>
      </c>
      <c r="F308" s="39">
        <f t="shared" si="81"/>
        <v>1303.8495559215387</v>
      </c>
      <c r="G308" s="46">
        <f t="shared" si="76"/>
        <v>1.06</v>
      </c>
      <c r="H308" s="5">
        <f t="shared" si="82"/>
        <v>192.2</v>
      </c>
      <c r="I308" s="4"/>
      <c r="J308" s="4">
        <v>0.06</v>
      </c>
      <c r="K308" s="5">
        <f t="shared" si="83"/>
        <v>154.19999999999999</v>
      </c>
      <c r="L308" s="4">
        <v>38</v>
      </c>
      <c r="M308" s="7">
        <f t="shared" si="84"/>
        <v>1.0747859922178988</v>
      </c>
      <c r="N308" s="6"/>
    </row>
    <row r="309" spans="1:14" x14ac:dyDescent="0.25">
      <c r="A309" s="4">
        <v>2580</v>
      </c>
      <c r="B309" s="5">
        <f t="shared" si="77"/>
        <v>2772.8</v>
      </c>
      <c r="C309" s="5">
        <f t="shared" si="78"/>
        <v>821.23950635417998</v>
      </c>
      <c r="D309" s="34">
        <f t="shared" si="79"/>
        <v>833.23950635417998</v>
      </c>
      <c r="E309" s="34">
        <f t="shared" si="80"/>
        <v>2617.6991118430774</v>
      </c>
      <c r="F309" s="39">
        <f t="shared" si="81"/>
        <v>1308.8495559215387</v>
      </c>
      <c r="G309" s="46">
        <f t="shared" si="76"/>
        <v>1.06</v>
      </c>
      <c r="H309" s="5">
        <f t="shared" si="82"/>
        <v>192.79999999999998</v>
      </c>
      <c r="I309" s="4"/>
      <c r="J309" s="4">
        <v>0.06</v>
      </c>
      <c r="K309" s="5">
        <f t="shared" si="83"/>
        <v>154.79999999999998</v>
      </c>
      <c r="L309" s="4">
        <v>38</v>
      </c>
      <c r="M309" s="7">
        <f t="shared" si="84"/>
        <v>1.0747286821705426</v>
      </c>
      <c r="N309" s="6"/>
    </row>
    <row r="310" spans="1:14" x14ac:dyDescent="0.25">
      <c r="A310" s="4">
        <v>2590</v>
      </c>
      <c r="B310" s="5">
        <f t="shared" si="77"/>
        <v>2783.4</v>
      </c>
      <c r="C310" s="5">
        <f t="shared" si="78"/>
        <v>824.42260521601793</v>
      </c>
      <c r="D310" s="34">
        <f t="shared" si="79"/>
        <v>836.42260521601793</v>
      </c>
      <c r="E310" s="34">
        <f t="shared" si="80"/>
        <v>2627.6991118430778</v>
      </c>
      <c r="F310" s="39">
        <f t="shared" si="81"/>
        <v>1313.8495559215389</v>
      </c>
      <c r="G310" s="46">
        <f t="shared" si="76"/>
        <v>1.06</v>
      </c>
      <c r="H310" s="5">
        <f t="shared" si="82"/>
        <v>193.4</v>
      </c>
      <c r="I310" s="4"/>
      <c r="J310" s="4">
        <v>0.06</v>
      </c>
      <c r="K310" s="5">
        <f t="shared" si="83"/>
        <v>155.4</v>
      </c>
      <c r="L310" s="4">
        <v>38</v>
      </c>
      <c r="M310" s="7">
        <f t="shared" si="84"/>
        <v>1.0746718146718146</v>
      </c>
      <c r="N310" s="6"/>
    </row>
    <row r="311" spans="1:14" x14ac:dyDescent="0.25">
      <c r="A311" s="4">
        <v>2600</v>
      </c>
      <c r="B311" s="5">
        <f t="shared" si="77"/>
        <v>2794</v>
      </c>
      <c r="C311" s="5">
        <f t="shared" si="78"/>
        <v>827.60570407785576</v>
      </c>
      <c r="D311" s="34">
        <f t="shared" si="79"/>
        <v>839.60570407785576</v>
      </c>
      <c r="E311" s="34">
        <f t="shared" si="80"/>
        <v>2637.6991118430774</v>
      </c>
      <c r="F311" s="39">
        <f t="shared" si="81"/>
        <v>1318.8495559215387</v>
      </c>
      <c r="G311" s="46">
        <f t="shared" si="76"/>
        <v>1.06</v>
      </c>
      <c r="H311" s="5">
        <f t="shared" si="82"/>
        <v>194</v>
      </c>
      <c r="I311" s="4"/>
      <c r="J311" s="4">
        <v>0.06</v>
      </c>
      <c r="K311" s="5">
        <f t="shared" si="83"/>
        <v>156</v>
      </c>
      <c r="L311" s="4">
        <v>38</v>
      </c>
      <c r="M311" s="7">
        <f t="shared" si="84"/>
        <v>1.0746153846153845</v>
      </c>
      <c r="N311" s="6"/>
    </row>
    <row r="312" spans="1:14" x14ac:dyDescent="0.25">
      <c r="A312" s="4">
        <v>2610</v>
      </c>
      <c r="B312" s="5">
        <f t="shared" si="77"/>
        <v>2804.6</v>
      </c>
      <c r="C312" s="5">
        <f t="shared" si="78"/>
        <v>830.78880293969371</v>
      </c>
      <c r="D312" s="34">
        <f t="shared" si="79"/>
        <v>842.78880293969371</v>
      </c>
      <c r="E312" s="34">
        <f t="shared" si="80"/>
        <v>2647.6991118430774</v>
      </c>
      <c r="F312" s="39">
        <f t="shared" si="81"/>
        <v>1323.8495559215387</v>
      </c>
      <c r="G312" s="46">
        <f t="shared" si="76"/>
        <v>1.06</v>
      </c>
      <c r="H312" s="5">
        <f t="shared" si="82"/>
        <v>194.6</v>
      </c>
      <c r="I312" s="4"/>
      <c r="J312" s="4">
        <v>0.06</v>
      </c>
      <c r="K312" s="5">
        <f t="shared" si="83"/>
        <v>156.6</v>
      </c>
      <c r="L312" s="4">
        <v>38</v>
      </c>
      <c r="M312" s="7">
        <f t="shared" si="84"/>
        <v>1.07455938697318</v>
      </c>
      <c r="N312" s="6"/>
    </row>
    <row r="313" spans="1:14" x14ac:dyDescent="0.25">
      <c r="A313" s="4">
        <v>2620</v>
      </c>
      <c r="B313" s="5">
        <f t="shared" si="77"/>
        <v>2815.2</v>
      </c>
      <c r="C313" s="5">
        <f t="shared" si="78"/>
        <v>833.97190180153154</v>
      </c>
      <c r="D313" s="34">
        <f t="shared" si="79"/>
        <v>845.97190180153154</v>
      </c>
      <c r="E313" s="34">
        <f t="shared" si="80"/>
        <v>2657.6991118430774</v>
      </c>
      <c r="F313" s="39">
        <f t="shared" si="81"/>
        <v>1328.8495559215387</v>
      </c>
      <c r="G313" s="46">
        <f t="shared" si="76"/>
        <v>1.06</v>
      </c>
      <c r="H313" s="5">
        <f t="shared" si="82"/>
        <v>195.2</v>
      </c>
      <c r="I313" s="4"/>
      <c r="J313" s="4">
        <v>0.06</v>
      </c>
      <c r="K313" s="5">
        <f t="shared" si="83"/>
        <v>157.19999999999999</v>
      </c>
      <c r="L313" s="4">
        <v>38</v>
      </c>
      <c r="M313" s="7">
        <f t="shared" si="84"/>
        <v>1.074503816793893</v>
      </c>
      <c r="N313" s="6"/>
    </row>
    <row r="314" spans="1:14" x14ac:dyDescent="0.25">
      <c r="A314" s="4">
        <v>2630</v>
      </c>
      <c r="B314" s="5">
        <f t="shared" si="77"/>
        <v>2825.8</v>
      </c>
      <c r="C314" s="5">
        <f t="shared" si="78"/>
        <v>837.15500066336949</v>
      </c>
      <c r="D314" s="34">
        <f t="shared" si="79"/>
        <v>849.15500066336949</v>
      </c>
      <c r="E314" s="34">
        <f t="shared" si="80"/>
        <v>2667.6991118430774</v>
      </c>
      <c r="F314" s="39">
        <f t="shared" si="81"/>
        <v>1333.8495559215387</v>
      </c>
      <c r="G314" s="46">
        <f t="shared" si="76"/>
        <v>1.06</v>
      </c>
      <c r="H314" s="5">
        <f t="shared" si="82"/>
        <v>195.79999999999998</v>
      </c>
      <c r="I314" s="4"/>
      <c r="J314" s="4">
        <v>0.06</v>
      </c>
      <c r="K314" s="5">
        <f t="shared" si="83"/>
        <v>157.79999999999998</v>
      </c>
      <c r="L314" s="4">
        <v>38</v>
      </c>
      <c r="M314" s="7">
        <f t="shared" si="84"/>
        <v>1.0744486692015209</v>
      </c>
      <c r="N314" s="6"/>
    </row>
    <row r="315" spans="1:14" x14ac:dyDescent="0.25">
      <c r="A315" s="4">
        <v>2640</v>
      </c>
      <c r="B315" s="5">
        <f t="shared" si="77"/>
        <v>2836.4</v>
      </c>
      <c r="C315" s="5">
        <f t="shared" si="78"/>
        <v>840.33809952520744</v>
      </c>
      <c r="D315" s="34">
        <f t="shared" si="79"/>
        <v>852.33809952520744</v>
      </c>
      <c r="E315" s="34">
        <f t="shared" si="80"/>
        <v>2677.6991118430778</v>
      </c>
      <c r="F315" s="39">
        <f t="shared" si="81"/>
        <v>1338.8495559215389</v>
      </c>
      <c r="G315" s="46">
        <f t="shared" si="76"/>
        <v>1.06</v>
      </c>
      <c r="H315" s="5">
        <f t="shared" si="82"/>
        <v>196.4</v>
      </c>
      <c r="I315" s="4"/>
      <c r="J315" s="4">
        <v>0.06</v>
      </c>
      <c r="K315" s="5">
        <f t="shared" si="83"/>
        <v>158.4</v>
      </c>
      <c r="L315" s="4">
        <v>38</v>
      </c>
      <c r="M315" s="7">
        <f t="shared" si="84"/>
        <v>1.0743939393939395</v>
      </c>
      <c r="N315" s="6"/>
    </row>
    <row r="316" spans="1:14" x14ac:dyDescent="0.25">
      <c r="A316" s="4">
        <v>2650</v>
      </c>
      <c r="B316" s="5">
        <f t="shared" si="77"/>
        <v>2847</v>
      </c>
      <c r="C316" s="5">
        <f t="shared" si="78"/>
        <v>843.52119838704527</v>
      </c>
      <c r="D316" s="34">
        <f t="shared" si="79"/>
        <v>855.52119838704527</v>
      </c>
      <c r="E316" s="34">
        <f t="shared" si="80"/>
        <v>2687.6991118430774</v>
      </c>
      <c r="F316" s="39">
        <f t="shared" si="81"/>
        <v>1343.8495559215387</v>
      </c>
      <c r="G316" s="46">
        <f t="shared" si="76"/>
        <v>1.06</v>
      </c>
      <c r="H316" s="5">
        <f t="shared" si="82"/>
        <v>197</v>
      </c>
      <c r="I316" s="4"/>
      <c r="J316" s="4">
        <v>0.06</v>
      </c>
      <c r="K316" s="5">
        <f t="shared" si="83"/>
        <v>159</v>
      </c>
      <c r="L316" s="4">
        <v>38</v>
      </c>
      <c r="M316" s="7">
        <f t="shared" si="84"/>
        <v>1.0743396226415094</v>
      </c>
      <c r="N316" s="6"/>
    </row>
    <row r="317" spans="1:14" x14ac:dyDescent="0.25">
      <c r="A317" s="4">
        <v>2660</v>
      </c>
      <c r="B317" s="5">
        <f t="shared" si="77"/>
        <v>2857.6</v>
      </c>
      <c r="C317" s="5">
        <f t="shared" si="78"/>
        <v>846.70429724888322</v>
      </c>
      <c r="D317" s="34">
        <f t="shared" si="79"/>
        <v>858.70429724888322</v>
      </c>
      <c r="E317" s="34">
        <f t="shared" si="80"/>
        <v>2697.6991118430774</v>
      </c>
      <c r="F317" s="39">
        <f t="shared" si="81"/>
        <v>1348.8495559215387</v>
      </c>
      <c r="G317" s="46">
        <f t="shared" si="76"/>
        <v>1.06</v>
      </c>
      <c r="H317" s="5">
        <f t="shared" si="82"/>
        <v>197.6</v>
      </c>
      <c r="I317" s="4"/>
      <c r="J317" s="4">
        <v>0.06</v>
      </c>
      <c r="K317" s="5">
        <f t="shared" si="83"/>
        <v>159.6</v>
      </c>
      <c r="L317" s="4">
        <v>38</v>
      </c>
      <c r="M317" s="7">
        <f t="shared" si="84"/>
        <v>1.0742857142857143</v>
      </c>
      <c r="N317" s="6"/>
    </row>
    <row r="318" spans="1:14" x14ac:dyDescent="0.25">
      <c r="A318" s="4">
        <v>2670</v>
      </c>
      <c r="B318" s="5">
        <f t="shared" si="77"/>
        <v>2868.2</v>
      </c>
      <c r="C318" s="5">
        <f t="shared" si="78"/>
        <v>849.88739611072117</v>
      </c>
      <c r="D318" s="34">
        <f t="shared" si="79"/>
        <v>861.88739611072117</v>
      </c>
      <c r="E318" s="34">
        <f t="shared" si="80"/>
        <v>2707.6991118430778</v>
      </c>
      <c r="F318" s="39">
        <f t="shared" si="81"/>
        <v>1353.8495559215389</v>
      </c>
      <c r="G318" s="46">
        <f t="shared" si="76"/>
        <v>1.06</v>
      </c>
      <c r="H318" s="5">
        <f t="shared" si="82"/>
        <v>198.2</v>
      </c>
      <c r="I318" s="4"/>
      <c r="J318" s="4">
        <v>0.06</v>
      </c>
      <c r="K318" s="5">
        <f t="shared" si="83"/>
        <v>160.19999999999999</v>
      </c>
      <c r="L318" s="4">
        <v>38</v>
      </c>
      <c r="M318" s="7">
        <f t="shared" si="84"/>
        <v>1.0742322097378276</v>
      </c>
      <c r="N318" s="6"/>
    </row>
    <row r="319" spans="1:14" x14ac:dyDescent="0.25">
      <c r="A319" s="4">
        <v>2680</v>
      </c>
      <c r="B319" s="5">
        <f t="shared" si="77"/>
        <v>2878.8</v>
      </c>
      <c r="C319" s="5">
        <f t="shared" si="78"/>
        <v>853.070494972559</v>
      </c>
      <c r="D319" s="34">
        <f t="shared" si="79"/>
        <v>865.070494972559</v>
      </c>
      <c r="E319" s="34">
        <f t="shared" si="80"/>
        <v>2717.6991118430774</v>
      </c>
      <c r="F319" s="39">
        <f t="shared" si="81"/>
        <v>1358.8495559215387</v>
      </c>
      <c r="G319" s="46">
        <f t="shared" si="76"/>
        <v>1.06</v>
      </c>
      <c r="H319" s="5">
        <f t="shared" si="82"/>
        <v>198.79999999999998</v>
      </c>
      <c r="I319" s="4"/>
      <c r="J319" s="4">
        <v>0.06</v>
      </c>
      <c r="K319" s="5">
        <f t="shared" si="83"/>
        <v>160.79999999999998</v>
      </c>
      <c r="L319" s="4">
        <v>38</v>
      </c>
      <c r="M319" s="7">
        <f t="shared" si="84"/>
        <v>1.0741791044776121</v>
      </c>
      <c r="N319" s="6"/>
    </row>
    <row r="320" spans="1:14" x14ac:dyDescent="0.25">
      <c r="A320" s="4">
        <v>2690</v>
      </c>
      <c r="B320" s="5">
        <f t="shared" si="77"/>
        <v>2889.4</v>
      </c>
      <c r="C320" s="5">
        <f t="shared" si="78"/>
        <v>856.25359383439695</v>
      </c>
      <c r="D320" s="34">
        <f t="shared" si="79"/>
        <v>868.25359383439695</v>
      </c>
      <c r="E320" s="34">
        <f t="shared" si="80"/>
        <v>2727.6991118430774</v>
      </c>
      <c r="F320" s="39">
        <f t="shared" si="81"/>
        <v>1363.8495559215387</v>
      </c>
      <c r="G320" s="46">
        <f t="shared" si="76"/>
        <v>1.06</v>
      </c>
      <c r="H320" s="5">
        <f t="shared" si="82"/>
        <v>199.4</v>
      </c>
      <c r="I320" s="4"/>
      <c r="J320" s="4">
        <v>0.06</v>
      </c>
      <c r="K320" s="5">
        <f t="shared" si="83"/>
        <v>161.4</v>
      </c>
      <c r="L320" s="4">
        <v>38</v>
      </c>
      <c r="M320" s="7">
        <f t="shared" si="84"/>
        <v>1.0741263940520447</v>
      </c>
      <c r="N320" s="6"/>
    </row>
    <row r="321" spans="1:14" x14ac:dyDescent="0.25">
      <c r="A321" s="4">
        <v>2700</v>
      </c>
      <c r="B321" s="5">
        <f t="shared" si="77"/>
        <v>2900</v>
      </c>
      <c r="C321" s="5">
        <f t="shared" si="78"/>
        <v>859.4366926962349</v>
      </c>
      <c r="D321" s="34">
        <f t="shared" si="79"/>
        <v>871.4366926962349</v>
      </c>
      <c r="E321" s="34">
        <f t="shared" si="80"/>
        <v>2737.6991118430778</v>
      </c>
      <c r="F321" s="39">
        <f t="shared" si="81"/>
        <v>1368.8495559215389</v>
      </c>
      <c r="G321" s="46">
        <f t="shared" si="76"/>
        <v>1.06</v>
      </c>
      <c r="H321" s="5">
        <f t="shared" si="82"/>
        <v>200</v>
      </c>
      <c r="I321" s="4"/>
      <c r="J321" s="4">
        <v>0.06</v>
      </c>
      <c r="K321" s="5">
        <f t="shared" si="83"/>
        <v>162</v>
      </c>
      <c r="L321" s="4">
        <v>38</v>
      </c>
      <c r="M321" s="7">
        <f t="shared" si="84"/>
        <v>1.0740740740740742</v>
      </c>
      <c r="N321" s="6"/>
    </row>
    <row r="322" spans="1:14" x14ac:dyDescent="0.25">
      <c r="A322" s="4">
        <v>2710</v>
      </c>
      <c r="B322" s="5">
        <f t="shared" si="77"/>
        <v>2910.6</v>
      </c>
      <c r="C322" s="5">
        <f t="shared" si="78"/>
        <v>862.61979155807273</v>
      </c>
      <c r="D322" s="34">
        <f t="shared" si="79"/>
        <v>874.61979155807273</v>
      </c>
      <c r="E322" s="34">
        <f t="shared" si="80"/>
        <v>2747.6991118430774</v>
      </c>
      <c r="F322" s="39">
        <f t="shared" si="81"/>
        <v>1373.8495559215387</v>
      </c>
      <c r="G322" s="46">
        <f t="shared" si="76"/>
        <v>1.06</v>
      </c>
      <c r="H322" s="5">
        <f t="shared" si="82"/>
        <v>200.6</v>
      </c>
      <c r="I322" s="4"/>
      <c r="J322" s="4">
        <v>0.06</v>
      </c>
      <c r="K322" s="5">
        <f t="shared" si="83"/>
        <v>162.6</v>
      </c>
      <c r="L322" s="4">
        <v>38</v>
      </c>
      <c r="M322" s="7">
        <f t="shared" si="84"/>
        <v>1.0740221402214021</v>
      </c>
      <c r="N322" s="6"/>
    </row>
    <row r="323" spans="1:14" x14ac:dyDescent="0.25">
      <c r="A323" s="4">
        <v>2720</v>
      </c>
      <c r="B323" s="5">
        <f t="shared" si="77"/>
        <v>2921.2</v>
      </c>
      <c r="C323" s="5">
        <f t="shared" si="78"/>
        <v>865.80289041991068</v>
      </c>
      <c r="D323" s="34">
        <f t="shared" si="79"/>
        <v>877.80289041991068</v>
      </c>
      <c r="E323" s="34">
        <f t="shared" si="80"/>
        <v>2757.6991118430774</v>
      </c>
      <c r="F323" s="39">
        <f t="shared" si="81"/>
        <v>1378.8495559215387</v>
      </c>
      <c r="G323" s="46">
        <f t="shared" si="76"/>
        <v>1.06</v>
      </c>
      <c r="H323" s="5">
        <f t="shared" si="82"/>
        <v>201.2</v>
      </c>
      <c r="I323" s="4"/>
      <c r="J323" s="4">
        <v>0.06</v>
      </c>
      <c r="K323" s="5">
        <f t="shared" si="83"/>
        <v>163.19999999999999</v>
      </c>
      <c r="L323" s="4">
        <v>38</v>
      </c>
      <c r="M323" s="7">
        <f t="shared" si="84"/>
        <v>1.0739705882352941</v>
      </c>
      <c r="N323" s="6"/>
    </row>
    <row r="324" spans="1:14" x14ac:dyDescent="0.25">
      <c r="A324" s="4">
        <v>2730</v>
      </c>
      <c r="B324" s="5">
        <f t="shared" si="77"/>
        <v>2931.8</v>
      </c>
      <c r="C324" s="5">
        <f t="shared" si="78"/>
        <v>868.98598928174852</v>
      </c>
      <c r="D324" s="34">
        <f t="shared" si="79"/>
        <v>880.98598928174852</v>
      </c>
      <c r="E324" s="34">
        <f t="shared" si="80"/>
        <v>2767.6991118430774</v>
      </c>
      <c r="F324" s="39">
        <f t="shared" si="81"/>
        <v>1383.8495559215387</v>
      </c>
      <c r="G324" s="46">
        <f t="shared" si="76"/>
        <v>1.06</v>
      </c>
      <c r="H324" s="5">
        <f t="shared" si="82"/>
        <v>201.79999999999998</v>
      </c>
      <c r="I324" s="4"/>
      <c r="J324" s="4">
        <v>0.06</v>
      </c>
      <c r="K324" s="5">
        <f t="shared" si="83"/>
        <v>163.79999999999998</v>
      </c>
      <c r="L324" s="4">
        <v>38</v>
      </c>
      <c r="M324" s="7">
        <f t="shared" si="84"/>
        <v>1.0739194139194139</v>
      </c>
      <c r="N324" s="6"/>
    </row>
    <row r="325" spans="1:14" x14ac:dyDescent="0.25">
      <c r="A325" s="4">
        <v>2740</v>
      </c>
      <c r="B325" s="5">
        <f t="shared" si="77"/>
        <v>2942.4</v>
      </c>
      <c r="C325" s="5">
        <f t="shared" si="78"/>
        <v>872.16908814358646</v>
      </c>
      <c r="D325" s="34">
        <f t="shared" si="79"/>
        <v>884.16908814358646</v>
      </c>
      <c r="E325" s="34">
        <f t="shared" si="80"/>
        <v>2777.6991118430774</v>
      </c>
      <c r="F325" s="39">
        <f t="shared" si="81"/>
        <v>1388.8495559215387</v>
      </c>
      <c r="G325" s="46">
        <f t="shared" si="76"/>
        <v>1.06</v>
      </c>
      <c r="H325" s="5">
        <f t="shared" si="82"/>
        <v>202.4</v>
      </c>
      <c r="I325" s="4"/>
      <c r="J325" s="4">
        <v>0.06</v>
      </c>
      <c r="K325" s="5">
        <f t="shared" si="83"/>
        <v>164.4</v>
      </c>
      <c r="L325" s="4">
        <v>38</v>
      </c>
      <c r="M325" s="7">
        <f t="shared" si="84"/>
        <v>1.0738686131386861</v>
      </c>
      <c r="N325" s="6"/>
    </row>
    <row r="326" spans="1:14" x14ac:dyDescent="0.25">
      <c r="A326" s="4">
        <v>2750</v>
      </c>
      <c r="B326" s="5">
        <f t="shared" si="77"/>
        <v>2953</v>
      </c>
      <c r="C326" s="5">
        <f t="shared" si="78"/>
        <v>875.35218700542441</v>
      </c>
      <c r="D326" s="34">
        <f t="shared" si="79"/>
        <v>887.35218700542441</v>
      </c>
      <c r="E326" s="34">
        <f t="shared" si="80"/>
        <v>2787.6991118430774</v>
      </c>
      <c r="F326" s="39">
        <f t="shared" si="81"/>
        <v>1393.8495559215387</v>
      </c>
      <c r="G326" s="46">
        <f t="shared" ref="G326:G389" si="85">ROUNDUP(B326/E326,2)</f>
        <v>1.06</v>
      </c>
      <c r="H326" s="5">
        <f t="shared" si="82"/>
        <v>203</v>
      </c>
      <c r="I326" s="4"/>
      <c r="J326" s="4">
        <v>0.06</v>
      </c>
      <c r="K326" s="5">
        <f t="shared" si="83"/>
        <v>165</v>
      </c>
      <c r="L326" s="4">
        <v>38</v>
      </c>
      <c r="M326" s="7">
        <f t="shared" si="84"/>
        <v>1.0738181818181818</v>
      </c>
      <c r="N326" s="6"/>
    </row>
    <row r="327" spans="1:14" x14ac:dyDescent="0.25">
      <c r="A327" s="4">
        <v>2760</v>
      </c>
      <c r="B327" s="5">
        <f t="shared" si="77"/>
        <v>2963.6</v>
      </c>
      <c r="C327" s="5">
        <f t="shared" si="78"/>
        <v>878.53528586726225</v>
      </c>
      <c r="D327" s="34">
        <f t="shared" si="79"/>
        <v>890.53528586726225</v>
      </c>
      <c r="E327" s="34">
        <f t="shared" si="80"/>
        <v>2797.6991118430774</v>
      </c>
      <c r="F327" s="39">
        <f t="shared" si="81"/>
        <v>1398.8495559215387</v>
      </c>
      <c r="G327" s="46">
        <f t="shared" si="85"/>
        <v>1.06</v>
      </c>
      <c r="H327" s="5">
        <f t="shared" si="82"/>
        <v>203.6</v>
      </c>
      <c r="I327" s="4"/>
      <c r="J327" s="4">
        <v>0.06</v>
      </c>
      <c r="K327" s="5">
        <f t="shared" si="83"/>
        <v>165.6</v>
      </c>
      <c r="L327" s="4">
        <v>38</v>
      </c>
      <c r="M327" s="7">
        <f t="shared" si="84"/>
        <v>1.0737681159420289</v>
      </c>
      <c r="N327" s="6"/>
    </row>
    <row r="328" spans="1:14" x14ac:dyDescent="0.25">
      <c r="A328" s="4">
        <v>2770</v>
      </c>
      <c r="B328" s="5">
        <f t="shared" si="77"/>
        <v>2974.2</v>
      </c>
      <c r="C328" s="5">
        <f t="shared" si="78"/>
        <v>881.71838472910019</v>
      </c>
      <c r="D328" s="34">
        <f t="shared" si="79"/>
        <v>893.71838472910019</v>
      </c>
      <c r="E328" s="34">
        <f t="shared" si="80"/>
        <v>2807.6991118430774</v>
      </c>
      <c r="F328" s="39">
        <f t="shared" si="81"/>
        <v>1403.8495559215387</v>
      </c>
      <c r="G328" s="46">
        <f t="shared" si="85"/>
        <v>1.06</v>
      </c>
      <c r="H328" s="5">
        <f t="shared" si="82"/>
        <v>204.2</v>
      </c>
      <c r="I328" s="4"/>
      <c r="J328" s="4">
        <v>0.06</v>
      </c>
      <c r="K328" s="5">
        <f t="shared" si="83"/>
        <v>166.2</v>
      </c>
      <c r="L328" s="4">
        <v>38</v>
      </c>
      <c r="M328" s="7">
        <f t="shared" si="84"/>
        <v>1.0737184115523466</v>
      </c>
      <c r="N328" s="6"/>
    </row>
    <row r="329" spans="1:14" x14ac:dyDescent="0.25">
      <c r="A329" s="4">
        <v>2780</v>
      </c>
      <c r="B329" s="5">
        <f t="shared" si="77"/>
        <v>2984.8</v>
      </c>
      <c r="C329" s="5">
        <f t="shared" si="78"/>
        <v>884.90148359093814</v>
      </c>
      <c r="D329" s="34">
        <f t="shared" si="79"/>
        <v>896.90148359093814</v>
      </c>
      <c r="E329" s="34">
        <f t="shared" si="80"/>
        <v>2817.6991118430778</v>
      </c>
      <c r="F329" s="39">
        <f t="shared" si="81"/>
        <v>1408.8495559215389</v>
      </c>
      <c r="G329" s="46">
        <f t="shared" si="85"/>
        <v>1.06</v>
      </c>
      <c r="H329" s="5">
        <f t="shared" si="82"/>
        <v>204.79999999999998</v>
      </c>
      <c r="I329" s="4"/>
      <c r="J329" s="4">
        <v>0.06</v>
      </c>
      <c r="K329" s="5">
        <f t="shared" si="83"/>
        <v>166.79999999999998</v>
      </c>
      <c r="L329" s="4">
        <v>38</v>
      </c>
      <c r="M329" s="7">
        <f t="shared" si="84"/>
        <v>1.0736690647482015</v>
      </c>
      <c r="N329" s="6"/>
    </row>
    <row r="330" spans="1:14" x14ac:dyDescent="0.25">
      <c r="A330" s="4">
        <v>2790</v>
      </c>
      <c r="B330" s="5">
        <f t="shared" si="77"/>
        <v>2995.4</v>
      </c>
      <c r="C330" s="5">
        <f t="shared" si="78"/>
        <v>888.08458245277598</v>
      </c>
      <c r="D330" s="34">
        <f t="shared" si="79"/>
        <v>900.08458245277598</v>
      </c>
      <c r="E330" s="34">
        <f t="shared" si="80"/>
        <v>2827.6991118430774</v>
      </c>
      <c r="F330" s="39">
        <f t="shared" si="81"/>
        <v>1413.8495559215387</v>
      </c>
      <c r="G330" s="46">
        <f t="shared" si="85"/>
        <v>1.06</v>
      </c>
      <c r="H330" s="5">
        <f t="shared" si="82"/>
        <v>205.4</v>
      </c>
      <c r="I330" s="4"/>
      <c r="J330" s="4">
        <v>0.06</v>
      </c>
      <c r="K330" s="5">
        <f t="shared" si="83"/>
        <v>167.4</v>
      </c>
      <c r="L330" s="4">
        <v>38</v>
      </c>
      <c r="M330" s="7">
        <f t="shared" si="84"/>
        <v>1.0736200716845878</v>
      </c>
      <c r="N330" s="6"/>
    </row>
    <row r="331" spans="1:14" x14ac:dyDescent="0.25">
      <c r="A331" s="4">
        <v>2800</v>
      </c>
      <c r="B331" s="5">
        <f t="shared" si="77"/>
        <v>3006</v>
      </c>
      <c r="C331" s="5">
        <f t="shared" si="78"/>
        <v>891.26768131461392</v>
      </c>
      <c r="D331" s="34">
        <f t="shared" si="79"/>
        <v>903.26768131461392</v>
      </c>
      <c r="E331" s="34">
        <f t="shared" si="80"/>
        <v>2837.6991118430774</v>
      </c>
      <c r="F331" s="39">
        <f t="shared" si="81"/>
        <v>1418.8495559215387</v>
      </c>
      <c r="G331" s="46">
        <f t="shared" si="85"/>
        <v>1.06</v>
      </c>
      <c r="H331" s="5">
        <f t="shared" si="82"/>
        <v>206</v>
      </c>
      <c r="I331" s="4"/>
      <c r="J331" s="4">
        <v>0.06</v>
      </c>
      <c r="K331" s="5">
        <f t="shared" si="83"/>
        <v>168</v>
      </c>
      <c r="L331" s="4">
        <v>38</v>
      </c>
      <c r="M331" s="7">
        <f t="shared" si="84"/>
        <v>1.0735714285714286</v>
      </c>
      <c r="N331" s="6"/>
    </row>
    <row r="332" spans="1:14" x14ac:dyDescent="0.25">
      <c r="A332" s="4">
        <v>2810</v>
      </c>
      <c r="B332" s="5">
        <f t="shared" si="77"/>
        <v>3016.6</v>
      </c>
      <c r="C332" s="5">
        <f t="shared" si="78"/>
        <v>894.45078017645187</v>
      </c>
      <c r="D332" s="34">
        <f t="shared" si="79"/>
        <v>906.45078017645187</v>
      </c>
      <c r="E332" s="34">
        <f t="shared" si="80"/>
        <v>2847.6991118430778</v>
      </c>
      <c r="F332" s="39">
        <f t="shared" si="81"/>
        <v>1423.8495559215389</v>
      </c>
      <c r="G332" s="46">
        <f t="shared" si="85"/>
        <v>1.06</v>
      </c>
      <c r="H332" s="5">
        <f t="shared" si="82"/>
        <v>206.6</v>
      </c>
      <c r="I332" s="4"/>
      <c r="J332" s="4">
        <v>0.06</v>
      </c>
      <c r="K332" s="5">
        <f t="shared" si="83"/>
        <v>168.6</v>
      </c>
      <c r="L332" s="4">
        <v>38</v>
      </c>
      <c r="M332" s="7">
        <f t="shared" si="84"/>
        <v>1.0735231316725979</v>
      </c>
      <c r="N332" s="6"/>
    </row>
    <row r="333" spans="1:14" x14ac:dyDescent="0.25">
      <c r="A333" s="4">
        <v>2820</v>
      </c>
      <c r="B333" s="5">
        <f t="shared" si="77"/>
        <v>3027.2</v>
      </c>
      <c r="C333" s="5">
        <f t="shared" si="78"/>
        <v>897.63387903828971</v>
      </c>
      <c r="D333" s="34">
        <f t="shared" si="79"/>
        <v>909.63387903828971</v>
      </c>
      <c r="E333" s="34">
        <f t="shared" si="80"/>
        <v>2857.6991118430774</v>
      </c>
      <c r="F333" s="39">
        <f t="shared" si="81"/>
        <v>1428.8495559215387</v>
      </c>
      <c r="G333" s="46">
        <f t="shared" si="85"/>
        <v>1.06</v>
      </c>
      <c r="H333" s="5">
        <f t="shared" si="82"/>
        <v>207.2</v>
      </c>
      <c r="I333" s="4"/>
      <c r="J333" s="4">
        <v>0.06</v>
      </c>
      <c r="K333" s="5">
        <f t="shared" si="83"/>
        <v>169.2</v>
      </c>
      <c r="L333" s="4">
        <v>38</v>
      </c>
      <c r="M333" s="7">
        <f t="shared" si="84"/>
        <v>1.0734751773049644</v>
      </c>
      <c r="N333" s="6"/>
    </row>
    <row r="334" spans="1:14" x14ac:dyDescent="0.25">
      <c r="A334" s="4">
        <v>2830</v>
      </c>
      <c r="B334" s="5">
        <f t="shared" si="77"/>
        <v>3037.8</v>
      </c>
      <c r="C334" s="5">
        <f t="shared" si="78"/>
        <v>900.81697790012765</v>
      </c>
      <c r="D334" s="34">
        <f t="shared" si="79"/>
        <v>912.81697790012765</v>
      </c>
      <c r="E334" s="34">
        <f t="shared" si="80"/>
        <v>2867.6991118430774</v>
      </c>
      <c r="F334" s="39">
        <f t="shared" si="81"/>
        <v>1433.8495559215387</v>
      </c>
      <c r="G334" s="46">
        <f t="shared" si="85"/>
        <v>1.06</v>
      </c>
      <c r="H334" s="5">
        <f t="shared" si="82"/>
        <v>207.79999999999998</v>
      </c>
      <c r="I334" s="4"/>
      <c r="J334" s="4">
        <v>0.06</v>
      </c>
      <c r="K334" s="5">
        <f t="shared" si="83"/>
        <v>169.79999999999998</v>
      </c>
      <c r="L334" s="4">
        <v>38</v>
      </c>
      <c r="M334" s="7">
        <f t="shared" si="84"/>
        <v>1.0734275618374558</v>
      </c>
      <c r="N334" s="6"/>
    </row>
    <row r="335" spans="1:14" x14ac:dyDescent="0.25">
      <c r="A335" s="4">
        <v>2840</v>
      </c>
      <c r="B335" s="5">
        <f t="shared" si="77"/>
        <v>3048.4</v>
      </c>
      <c r="C335" s="5">
        <f t="shared" si="78"/>
        <v>904.00007676196549</v>
      </c>
      <c r="D335" s="34">
        <f t="shared" si="79"/>
        <v>916.00007676196549</v>
      </c>
      <c r="E335" s="34">
        <f t="shared" si="80"/>
        <v>2877.6991118430774</v>
      </c>
      <c r="F335" s="39">
        <f t="shared" si="81"/>
        <v>1438.8495559215387</v>
      </c>
      <c r="G335" s="46">
        <f t="shared" si="85"/>
        <v>1.06</v>
      </c>
      <c r="H335" s="5">
        <f t="shared" si="82"/>
        <v>208.4</v>
      </c>
      <c r="I335" s="4"/>
      <c r="J335" s="4">
        <v>0.06</v>
      </c>
      <c r="K335" s="5">
        <f t="shared" si="83"/>
        <v>170.4</v>
      </c>
      <c r="L335" s="4">
        <v>38</v>
      </c>
      <c r="M335" s="7">
        <f t="shared" si="84"/>
        <v>1.0733802816901408</v>
      </c>
      <c r="N335" s="6"/>
    </row>
    <row r="336" spans="1:14" x14ac:dyDescent="0.25">
      <c r="A336" s="4">
        <v>2850</v>
      </c>
      <c r="B336" s="5">
        <f t="shared" si="77"/>
        <v>3059</v>
      </c>
      <c r="C336" s="5">
        <f t="shared" si="78"/>
        <v>907.18317562380344</v>
      </c>
      <c r="D336" s="34">
        <f t="shared" si="79"/>
        <v>919.18317562380344</v>
      </c>
      <c r="E336" s="34">
        <f t="shared" si="80"/>
        <v>2887.6991118430774</v>
      </c>
      <c r="F336" s="39">
        <f t="shared" si="81"/>
        <v>1443.8495559215387</v>
      </c>
      <c r="G336" s="46">
        <f t="shared" si="85"/>
        <v>1.06</v>
      </c>
      <c r="H336" s="5">
        <f t="shared" si="82"/>
        <v>209</v>
      </c>
      <c r="I336" s="4"/>
      <c r="J336" s="4">
        <v>0.06</v>
      </c>
      <c r="K336" s="5">
        <f t="shared" si="83"/>
        <v>171</v>
      </c>
      <c r="L336" s="4">
        <v>38</v>
      </c>
      <c r="M336" s="7">
        <f t="shared" si="84"/>
        <v>1.0733333333333333</v>
      </c>
      <c r="N336" s="6"/>
    </row>
    <row r="337" spans="1:14" x14ac:dyDescent="0.25">
      <c r="A337" s="4">
        <v>2860</v>
      </c>
      <c r="B337" s="5">
        <f t="shared" si="77"/>
        <v>3069.6</v>
      </c>
      <c r="C337" s="5">
        <f t="shared" si="78"/>
        <v>910.36627448564138</v>
      </c>
      <c r="D337" s="34">
        <f t="shared" si="79"/>
        <v>922.36627448564138</v>
      </c>
      <c r="E337" s="34">
        <f t="shared" si="80"/>
        <v>2897.6991118430774</v>
      </c>
      <c r="F337" s="39">
        <f t="shared" si="81"/>
        <v>1448.8495559215387</v>
      </c>
      <c r="G337" s="46">
        <f t="shared" si="85"/>
        <v>1.06</v>
      </c>
      <c r="H337" s="5">
        <f t="shared" si="82"/>
        <v>209.6</v>
      </c>
      <c r="I337" s="4"/>
      <c r="J337" s="4">
        <v>0.06</v>
      </c>
      <c r="K337" s="5">
        <f t="shared" si="83"/>
        <v>171.6</v>
      </c>
      <c r="L337" s="4">
        <v>38</v>
      </c>
      <c r="M337" s="7">
        <f t="shared" si="84"/>
        <v>1.0732867132867132</v>
      </c>
      <c r="N337" s="6"/>
    </row>
    <row r="338" spans="1:14" x14ac:dyDescent="0.25">
      <c r="A338" s="4">
        <v>2870</v>
      </c>
      <c r="B338" s="5">
        <f t="shared" si="77"/>
        <v>3080.2</v>
      </c>
      <c r="C338" s="5">
        <f t="shared" si="78"/>
        <v>913.54937334747922</v>
      </c>
      <c r="D338" s="34">
        <f t="shared" si="79"/>
        <v>925.54937334747922</v>
      </c>
      <c r="E338" s="34">
        <f t="shared" si="80"/>
        <v>2907.6991118430774</v>
      </c>
      <c r="F338" s="39">
        <f t="shared" si="81"/>
        <v>1453.8495559215387</v>
      </c>
      <c r="G338" s="46">
        <f t="shared" si="85"/>
        <v>1.06</v>
      </c>
      <c r="H338" s="5">
        <f t="shared" si="82"/>
        <v>210.2</v>
      </c>
      <c r="I338" s="4"/>
      <c r="J338" s="4">
        <v>0.06</v>
      </c>
      <c r="K338" s="5">
        <f t="shared" si="83"/>
        <v>172.2</v>
      </c>
      <c r="L338" s="4">
        <v>38</v>
      </c>
      <c r="M338" s="7">
        <f t="shared" si="84"/>
        <v>1.0732404181184669</v>
      </c>
      <c r="N338" s="6"/>
    </row>
    <row r="339" spans="1:14" x14ac:dyDescent="0.25">
      <c r="A339" s="4">
        <v>2880</v>
      </c>
      <c r="B339" s="5">
        <f t="shared" si="77"/>
        <v>3090.8</v>
      </c>
      <c r="C339" s="5">
        <f t="shared" si="78"/>
        <v>916.73247220931717</v>
      </c>
      <c r="D339" s="34">
        <f t="shared" si="79"/>
        <v>928.73247220931717</v>
      </c>
      <c r="E339" s="34">
        <f t="shared" si="80"/>
        <v>2917.6991118430774</v>
      </c>
      <c r="F339" s="39">
        <f t="shared" si="81"/>
        <v>1458.8495559215387</v>
      </c>
      <c r="G339" s="46">
        <f t="shared" si="85"/>
        <v>1.06</v>
      </c>
      <c r="H339" s="5">
        <f t="shared" si="82"/>
        <v>210.79999999999998</v>
      </c>
      <c r="I339" s="4"/>
      <c r="J339" s="4">
        <v>0.06</v>
      </c>
      <c r="K339" s="5">
        <f t="shared" si="83"/>
        <v>172.79999999999998</v>
      </c>
      <c r="L339" s="4">
        <v>38</v>
      </c>
      <c r="M339" s="7">
        <f t="shared" si="84"/>
        <v>1.0731944444444446</v>
      </c>
      <c r="N339" s="6"/>
    </row>
    <row r="340" spans="1:14" x14ac:dyDescent="0.25">
      <c r="A340" s="4">
        <v>2890</v>
      </c>
      <c r="B340" s="5">
        <f t="shared" si="77"/>
        <v>3101.4</v>
      </c>
      <c r="C340" s="5">
        <f t="shared" si="78"/>
        <v>919.91557107115511</v>
      </c>
      <c r="D340" s="34">
        <f t="shared" si="79"/>
        <v>931.91557107115511</v>
      </c>
      <c r="E340" s="34">
        <f t="shared" si="80"/>
        <v>2927.6991118430778</v>
      </c>
      <c r="F340" s="39">
        <f t="shared" si="81"/>
        <v>1463.8495559215389</v>
      </c>
      <c r="G340" s="46">
        <f t="shared" si="85"/>
        <v>1.06</v>
      </c>
      <c r="H340" s="5">
        <f t="shared" si="82"/>
        <v>211.4</v>
      </c>
      <c r="I340" s="4"/>
      <c r="J340" s="4">
        <v>0.06</v>
      </c>
      <c r="K340" s="5">
        <f t="shared" si="83"/>
        <v>173.4</v>
      </c>
      <c r="L340" s="4">
        <v>38</v>
      </c>
      <c r="M340" s="7">
        <f t="shared" si="84"/>
        <v>1.0731487889273357</v>
      </c>
      <c r="N340" s="6"/>
    </row>
    <row r="341" spans="1:14" x14ac:dyDescent="0.25">
      <c r="A341" s="4">
        <v>2900</v>
      </c>
      <c r="B341" s="5">
        <f t="shared" si="77"/>
        <v>3112</v>
      </c>
      <c r="C341" s="5">
        <f t="shared" si="78"/>
        <v>923.09866993299295</v>
      </c>
      <c r="D341" s="34">
        <f t="shared" si="79"/>
        <v>935.09866993299295</v>
      </c>
      <c r="E341" s="34">
        <f t="shared" si="80"/>
        <v>2937.6991118430774</v>
      </c>
      <c r="F341" s="39">
        <f t="shared" si="81"/>
        <v>1468.8495559215387</v>
      </c>
      <c r="G341" s="46">
        <f t="shared" si="85"/>
        <v>1.06</v>
      </c>
      <c r="H341" s="5">
        <f t="shared" si="82"/>
        <v>212</v>
      </c>
      <c r="I341" s="4"/>
      <c r="J341" s="4">
        <v>0.06</v>
      </c>
      <c r="K341" s="5">
        <f t="shared" si="83"/>
        <v>174</v>
      </c>
      <c r="L341" s="4">
        <v>38</v>
      </c>
      <c r="M341" s="7">
        <f t="shared" si="84"/>
        <v>1.0731034482758621</v>
      </c>
      <c r="N341" s="6"/>
    </row>
    <row r="342" spans="1:14" x14ac:dyDescent="0.25">
      <c r="A342" s="4">
        <v>2910</v>
      </c>
      <c r="B342" s="5">
        <f t="shared" si="77"/>
        <v>3122.6</v>
      </c>
      <c r="C342" s="5">
        <f t="shared" si="78"/>
        <v>926.2817687948309</v>
      </c>
      <c r="D342" s="34">
        <f t="shared" si="79"/>
        <v>938.2817687948309</v>
      </c>
      <c r="E342" s="34">
        <f t="shared" si="80"/>
        <v>2947.6991118430774</v>
      </c>
      <c r="F342" s="39">
        <f t="shared" si="81"/>
        <v>1473.8495559215387</v>
      </c>
      <c r="G342" s="46">
        <f t="shared" si="85"/>
        <v>1.06</v>
      </c>
      <c r="H342" s="5">
        <f t="shared" si="82"/>
        <v>212.6</v>
      </c>
      <c r="I342" s="4"/>
      <c r="J342" s="4">
        <v>0.06</v>
      </c>
      <c r="K342" s="5">
        <f t="shared" si="83"/>
        <v>174.6</v>
      </c>
      <c r="L342" s="4">
        <v>38</v>
      </c>
      <c r="M342" s="7">
        <f t="shared" si="84"/>
        <v>1.0730584192439863</v>
      </c>
      <c r="N342" s="6"/>
    </row>
    <row r="343" spans="1:14" x14ac:dyDescent="0.25">
      <c r="A343" s="4">
        <v>2920</v>
      </c>
      <c r="B343" s="5">
        <f t="shared" si="77"/>
        <v>3133.2</v>
      </c>
      <c r="C343" s="5">
        <f t="shared" si="78"/>
        <v>929.46486765666884</v>
      </c>
      <c r="D343" s="34">
        <f t="shared" si="79"/>
        <v>941.46486765666884</v>
      </c>
      <c r="E343" s="34">
        <f t="shared" si="80"/>
        <v>2957.6991118430778</v>
      </c>
      <c r="F343" s="39">
        <f t="shared" si="81"/>
        <v>1478.8495559215389</v>
      </c>
      <c r="G343" s="46">
        <f t="shared" si="85"/>
        <v>1.06</v>
      </c>
      <c r="H343" s="5">
        <f t="shared" si="82"/>
        <v>213.2</v>
      </c>
      <c r="I343" s="4"/>
      <c r="J343" s="4">
        <v>0.06</v>
      </c>
      <c r="K343" s="5">
        <f t="shared" si="83"/>
        <v>175.2</v>
      </c>
      <c r="L343" s="4">
        <v>38</v>
      </c>
      <c r="M343" s="7">
        <f t="shared" si="84"/>
        <v>1.0730136986301368</v>
      </c>
      <c r="N343" s="6"/>
    </row>
    <row r="344" spans="1:14" x14ac:dyDescent="0.25">
      <c r="A344" s="4">
        <v>2930</v>
      </c>
      <c r="B344" s="5">
        <f t="shared" si="77"/>
        <v>3143.8</v>
      </c>
      <c r="C344" s="5">
        <f t="shared" si="78"/>
        <v>932.64796651850668</v>
      </c>
      <c r="D344" s="34">
        <f t="shared" si="79"/>
        <v>944.64796651850668</v>
      </c>
      <c r="E344" s="34">
        <f t="shared" si="80"/>
        <v>2967.6991118430774</v>
      </c>
      <c r="F344" s="39">
        <f t="shared" si="81"/>
        <v>1483.8495559215387</v>
      </c>
      <c r="G344" s="46">
        <f t="shared" si="85"/>
        <v>1.06</v>
      </c>
      <c r="H344" s="5">
        <f t="shared" si="82"/>
        <v>213.79999999999998</v>
      </c>
      <c r="I344" s="4"/>
      <c r="J344" s="4">
        <v>0.06</v>
      </c>
      <c r="K344" s="5">
        <f t="shared" si="83"/>
        <v>175.79999999999998</v>
      </c>
      <c r="L344" s="4">
        <v>38</v>
      </c>
      <c r="M344" s="7">
        <f t="shared" si="84"/>
        <v>1.0729692832764506</v>
      </c>
      <c r="N344" s="6"/>
    </row>
    <row r="345" spans="1:14" x14ac:dyDescent="0.25">
      <c r="A345" s="4">
        <v>2940</v>
      </c>
      <c r="B345" s="5">
        <f t="shared" si="77"/>
        <v>3154.4</v>
      </c>
      <c r="C345" s="5">
        <f t="shared" si="78"/>
        <v>935.83106538034463</v>
      </c>
      <c r="D345" s="34">
        <f t="shared" si="79"/>
        <v>947.83106538034463</v>
      </c>
      <c r="E345" s="34">
        <f t="shared" si="80"/>
        <v>2977.6991118430774</v>
      </c>
      <c r="F345" s="39">
        <f t="shared" si="81"/>
        <v>1488.8495559215387</v>
      </c>
      <c r="G345" s="46">
        <f t="shared" si="85"/>
        <v>1.06</v>
      </c>
      <c r="H345" s="5">
        <f t="shared" si="82"/>
        <v>214.4</v>
      </c>
      <c r="I345" s="4"/>
      <c r="J345" s="4">
        <v>0.06</v>
      </c>
      <c r="K345" s="5">
        <f t="shared" si="83"/>
        <v>176.4</v>
      </c>
      <c r="L345" s="4">
        <v>38</v>
      </c>
      <c r="M345" s="7">
        <f t="shared" si="84"/>
        <v>1.0729251700680273</v>
      </c>
      <c r="N345" s="6"/>
    </row>
    <row r="346" spans="1:14" x14ac:dyDescent="0.25">
      <c r="A346" s="4">
        <v>2950</v>
      </c>
      <c r="B346" s="5">
        <f t="shared" si="77"/>
        <v>3165</v>
      </c>
      <c r="C346" s="5">
        <f t="shared" si="78"/>
        <v>939.01416424218257</v>
      </c>
      <c r="D346" s="34">
        <f t="shared" si="79"/>
        <v>951.01416424218257</v>
      </c>
      <c r="E346" s="34">
        <f t="shared" si="80"/>
        <v>2987.6991118430778</v>
      </c>
      <c r="F346" s="39">
        <f t="shared" si="81"/>
        <v>1493.8495559215389</v>
      </c>
      <c r="G346" s="46">
        <f t="shared" si="85"/>
        <v>1.06</v>
      </c>
      <c r="H346" s="5">
        <f t="shared" si="82"/>
        <v>215</v>
      </c>
      <c r="I346" s="4"/>
      <c r="J346" s="4">
        <v>0.06</v>
      </c>
      <c r="K346" s="5">
        <f t="shared" si="83"/>
        <v>177</v>
      </c>
      <c r="L346" s="4">
        <v>38</v>
      </c>
      <c r="M346" s="7">
        <f t="shared" si="84"/>
        <v>1.0728813559322035</v>
      </c>
      <c r="N346" s="6"/>
    </row>
    <row r="347" spans="1:14" x14ac:dyDescent="0.25">
      <c r="A347" s="4">
        <v>2960</v>
      </c>
      <c r="B347" s="5">
        <f t="shared" si="77"/>
        <v>3175.6</v>
      </c>
      <c r="C347" s="5">
        <f t="shared" si="78"/>
        <v>942.19726310402041</v>
      </c>
      <c r="D347" s="34">
        <f t="shared" si="79"/>
        <v>954.19726310402041</v>
      </c>
      <c r="E347" s="34">
        <f t="shared" si="80"/>
        <v>2997.6991118430774</v>
      </c>
      <c r="F347" s="39">
        <f t="shared" si="81"/>
        <v>1498.8495559215387</v>
      </c>
      <c r="G347" s="46">
        <f t="shared" si="85"/>
        <v>1.06</v>
      </c>
      <c r="H347" s="5">
        <f t="shared" si="82"/>
        <v>215.6</v>
      </c>
      <c r="I347" s="4"/>
      <c r="J347" s="4">
        <v>0.06</v>
      </c>
      <c r="K347" s="5">
        <f t="shared" si="83"/>
        <v>177.6</v>
      </c>
      <c r="L347" s="4">
        <v>38</v>
      </c>
      <c r="M347" s="7">
        <f t="shared" si="84"/>
        <v>1.0728378378378378</v>
      </c>
      <c r="N347" s="6"/>
    </row>
    <row r="348" spans="1:14" x14ac:dyDescent="0.25">
      <c r="A348" s="4">
        <v>2970</v>
      </c>
      <c r="B348" s="5">
        <f t="shared" si="77"/>
        <v>3186.2</v>
      </c>
      <c r="C348" s="5">
        <f t="shared" si="78"/>
        <v>945.38036196585836</v>
      </c>
      <c r="D348" s="34">
        <f t="shared" si="79"/>
        <v>957.38036196585836</v>
      </c>
      <c r="E348" s="34">
        <f t="shared" si="80"/>
        <v>3007.6991118430774</v>
      </c>
      <c r="F348" s="39">
        <f t="shared" si="81"/>
        <v>1503.8495559215387</v>
      </c>
      <c r="G348" s="46">
        <f t="shared" si="85"/>
        <v>1.06</v>
      </c>
      <c r="H348" s="5">
        <f t="shared" si="82"/>
        <v>216.2</v>
      </c>
      <c r="I348" s="4"/>
      <c r="J348" s="4">
        <v>0.06</v>
      </c>
      <c r="K348" s="5">
        <f t="shared" si="83"/>
        <v>178.2</v>
      </c>
      <c r="L348" s="4">
        <v>38</v>
      </c>
      <c r="M348" s="7">
        <f t="shared" si="84"/>
        <v>1.0727946127946126</v>
      </c>
      <c r="N348" s="6"/>
    </row>
    <row r="349" spans="1:14" x14ac:dyDescent="0.25">
      <c r="A349" s="4">
        <v>2980</v>
      </c>
      <c r="B349" s="5">
        <f t="shared" si="77"/>
        <v>3196.8</v>
      </c>
      <c r="C349" s="5">
        <f t="shared" si="78"/>
        <v>948.56346082769619</v>
      </c>
      <c r="D349" s="34">
        <f t="shared" si="79"/>
        <v>960.56346082769619</v>
      </c>
      <c r="E349" s="34">
        <f t="shared" si="80"/>
        <v>3017.6991118430774</v>
      </c>
      <c r="F349" s="39">
        <f t="shared" si="81"/>
        <v>1508.8495559215387</v>
      </c>
      <c r="G349" s="46">
        <f t="shared" si="85"/>
        <v>1.06</v>
      </c>
      <c r="H349" s="5">
        <f t="shared" si="82"/>
        <v>216.79999999999998</v>
      </c>
      <c r="I349" s="4"/>
      <c r="J349" s="4">
        <v>0.06</v>
      </c>
      <c r="K349" s="5">
        <f t="shared" si="83"/>
        <v>178.79999999999998</v>
      </c>
      <c r="L349" s="4">
        <v>38</v>
      </c>
      <c r="M349" s="7">
        <f t="shared" si="84"/>
        <v>1.0727516778523492</v>
      </c>
      <c r="N349" s="6"/>
    </row>
    <row r="350" spans="1:14" x14ac:dyDescent="0.25">
      <c r="A350" s="4">
        <v>2990</v>
      </c>
      <c r="B350" s="5">
        <f t="shared" si="77"/>
        <v>3207.4</v>
      </c>
      <c r="C350" s="5">
        <f t="shared" si="78"/>
        <v>951.74655968953414</v>
      </c>
      <c r="D350" s="34">
        <f t="shared" si="79"/>
        <v>963.74655968953414</v>
      </c>
      <c r="E350" s="34">
        <f t="shared" si="80"/>
        <v>3027.6991118430774</v>
      </c>
      <c r="F350" s="39">
        <f t="shared" si="81"/>
        <v>1513.8495559215387</v>
      </c>
      <c r="G350" s="46">
        <f t="shared" si="85"/>
        <v>1.06</v>
      </c>
      <c r="H350" s="5">
        <f t="shared" si="82"/>
        <v>217.4</v>
      </c>
      <c r="I350" s="4"/>
      <c r="J350" s="4">
        <v>0.06</v>
      </c>
      <c r="K350" s="5">
        <f t="shared" si="83"/>
        <v>179.4</v>
      </c>
      <c r="L350" s="4">
        <v>38</v>
      </c>
      <c r="M350" s="7">
        <f t="shared" si="84"/>
        <v>1.0727090301003346</v>
      </c>
      <c r="N350" s="6"/>
    </row>
    <row r="351" spans="1:14" x14ac:dyDescent="0.25">
      <c r="A351" s="4">
        <v>3000</v>
      </c>
      <c r="B351" s="5">
        <f t="shared" si="77"/>
        <v>3218</v>
      </c>
      <c r="C351" s="5">
        <f t="shared" si="78"/>
        <v>954.92965855137209</v>
      </c>
      <c r="D351" s="34">
        <f t="shared" si="79"/>
        <v>966.92965855137209</v>
      </c>
      <c r="E351" s="34">
        <f t="shared" si="80"/>
        <v>3037.6991118430778</v>
      </c>
      <c r="F351" s="39">
        <f t="shared" si="81"/>
        <v>1518.8495559215389</v>
      </c>
      <c r="G351" s="46">
        <f t="shared" si="85"/>
        <v>1.06</v>
      </c>
      <c r="H351" s="5">
        <f t="shared" si="82"/>
        <v>218</v>
      </c>
      <c r="I351" s="4"/>
      <c r="J351" s="4">
        <v>0.06</v>
      </c>
      <c r="K351" s="5">
        <f t="shared" si="83"/>
        <v>180</v>
      </c>
      <c r="L351" s="4">
        <v>38</v>
      </c>
      <c r="M351" s="7">
        <f t="shared" si="84"/>
        <v>1.0726666666666667</v>
      </c>
      <c r="N351" s="6"/>
    </row>
    <row r="352" spans="1:14" x14ac:dyDescent="0.25">
      <c r="A352" s="4">
        <v>3010</v>
      </c>
      <c r="B352" s="5">
        <f t="shared" si="77"/>
        <v>3228.6</v>
      </c>
      <c r="C352" s="5">
        <f t="shared" si="78"/>
        <v>958.11275741320992</v>
      </c>
      <c r="D352" s="34">
        <f t="shared" si="79"/>
        <v>970.11275741320992</v>
      </c>
      <c r="E352" s="34">
        <f t="shared" si="80"/>
        <v>3047.6991118430774</v>
      </c>
      <c r="F352" s="39">
        <f t="shared" si="81"/>
        <v>1523.8495559215387</v>
      </c>
      <c r="G352" s="46">
        <f t="shared" si="85"/>
        <v>1.06</v>
      </c>
      <c r="H352" s="5">
        <f t="shared" si="82"/>
        <v>218.6</v>
      </c>
      <c r="I352" s="4"/>
      <c r="J352" s="4">
        <v>0.06</v>
      </c>
      <c r="K352" s="5">
        <f t="shared" si="83"/>
        <v>180.6</v>
      </c>
      <c r="L352" s="4">
        <v>38</v>
      </c>
      <c r="M352" s="7">
        <f t="shared" si="84"/>
        <v>1.0726245847176079</v>
      </c>
      <c r="N352" s="6"/>
    </row>
    <row r="353" spans="1:14" x14ac:dyDescent="0.25">
      <c r="A353" s="4">
        <v>3020</v>
      </c>
      <c r="B353" s="5">
        <f t="shared" si="77"/>
        <v>3239.2</v>
      </c>
      <c r="C353" s="5">
        <f t="shared" si="78"/>
        <v>961.29585627504787</v>
      </c>
      <c r="D353" s="34">
        <f t="shared" si="79"/>
        <v>973.29585627504787</v>
      </c>
      <c r="E353" s="34">
        <f t="shared" si="80"/>
        <v>3057.6991118430774</v>
      </c>
      <c r="F353" s="39">
        <f t="shared" si="81"/>
        <v>1528.8495559215387</v>
      </c>
      <c r="G353" s="46">
        <f t="shared" si="85"/>
        <v>1.06</v>
      </c>
      <c r="H353" s="5">
        <f t="shared" si="82"/>
        <v>219.2</v>
      </c>
      <c r="I353" s="4"/>
      <c r="J353" s="4">
        <v>0.06</v>
      </c>
      <c r="K353" s="5">
        <f t="shared" si="83"/>
        <v>181.2</v>
      </c>
      <c r="L353" s="4">
        <v>38</v>
      </c>
      <c r="M353" s="7">
        <f t="shared" si="84"/>
        <v>1.0725827814569535</v>
      </c>
      <c r="N353" s="6"/>
    </row>
    <row r="354" spans="1:14" x14ac:dyDescent="0.25">
      <c r="A354" s="4">
        <v>3030</v>
      </c>
      <c r="B354" s="5">
        <f t="shared" si="77"/>
        <v>3249.8</v>
      </c>
      <c r="C354" s="5">
        <f t="shared" si="78"/>
        <v>964.47895513688582</v>
      </c>
      <c r="D354" s="34">
        <f t="shared" si="79"/>
        <v>976.47895513688582</v>
      </c>
      <c r="E354" s="34">
        <f t="shared" si="80"/>
        <v>3067.6991118430778</v>
      </c>
      <c r="F354" s="39">
        <f t="shared" si="81"/>
        <v>1533.8495559215389</v>
      </c>
      <c r="G354" s="46">
        <f t="shared" si="85"/>
        <v>1.06</v>
      </c>
      <c r="H354" s="5">
        <f t="shared" si="82"/>
        <v>219.79999999999998</v>
      </c>
      <c r="I354" s="4"/>
      <c r="J354" s="4">
        <v>0.06</v>
      </c>
      <c r="K354" s="5">
        <f t="shared" si="83"/>
        <v>181.79999999999998</v>
      </c>
      <c r="L354" s="4">
        <v>38</v>
      </c>
      <c r="M354" s="7">
        <f t="shared" si="84"/>
        <v>1.0725412541254127</v>
      </c>
      <c r="N354" s="6"/>
    </row>
    <row r="355" spans="1:14" x14ac:dyDescent="0.25">
      <c r="A355" s="4">
        <v>3040</v>
      </c>
      <c r="B355" s="5">
        <f t="shared" si="77"/>
        <v>3260.4</v>
      </c>
      <c r="C355" s="5">
        <f t="shared" si="78"/>
        <v>967.66205399872365</v>
      </c>
      <c r="D355" s="34">
        <f t="shared" si="79"/>
        <v>979.66205399872365</v>
      </c>
      <c r="E355" s="34">
        <f t="shared" si="80"/>
        <v>3077.6991118430774</v>
      </c>
      <c r="F355" s="39">
        <f t="shared" si="81"/>
        <v>1538.8495559215387</v>
      </c>
      <c r="G355" s="46">
        <f t="shared" si="85"/>
        <v>1.06</v>
      </c>
      <c r="H355" s="5">
        <f t="shared" si="82"/>
        <v>220.4</v>
      </c>
      <c r="I355" s="4"/>
      <c r="J355" s="4">
        <v>0.06</v>
      </c>
      <c r="K355" s="5">
        <f t="shared" si="83"/>
        <v>182.4</v>
      </c>
      <c r="L355" s="4">
        <v>38</v>
      </c>
      <c r="M355" s="7">
        <f t="shared" si="84"/>
        <v>1.0725</v>
      </c>
      <c r="N355" s="6"/>
    </row>
    <row r="356" spans="1:14" x14ac:dyDescent="0.25">
      <c r="A356" s="4">
        <v>3050</v>
      </c>
      <c r="B356" s="5">
        <f t="shared" si="77"/>
        <v>3271</v>
      </c>
      <c r="C356" s="5">
        <f t="shared" si="78"/>
        <v>970.8451528605616</v>
      </c>
      <c r="D356" s="34">
        <f t="shared" si="79"/>
        <v>982.8451528605616</v>
      </c>
      <c r="E356" s="34">
        <f t="shared" si="80"/>
        <v>3087.6991118430774</v>
      </c>
      <c r="F356" s="39">
        <f t="shared" si="81"/>
        <v>1543.8495559215387</v>
      </c>
      <c r="G356" s="46">
        <f t="shared" si="85"/>
        <v>1.06</v>
      </c>
      <c r="H356" s="5">
        <f t="shared" si="82"/>
        <v>221</v>
      </c>
      <c r="I356" s="4"/>
      <c r="J356" s="4">
        <v>0.06</v>
      </c>
      <c r="K356" s="5">
        <f t="shared" si="83"/>
        <v>183</v>
      </c>
      <c r="L356" s="4">
        <v>38</v>
      </c>
      <c r="M356" s="7">
        <f t="shared" si="84"/>
        <v>1.0724590163934427</v>
      </c>
      <c r="N356" s="6"/>
    </row>
    <row r="357" spans="1:14" x14ac:dyDescent="0.25">
      <c r="A357" s="4">
        <v>3060</v>
      </c>
      <c r="B357" s="5">
        <f t="shared" si="77"/>
        <v>3281.6</v>
      </c>
      <c r="C357" s="5">
        <f t="shared" si="78"/>
        <v>974.02825172239955</v>
      </c>
      <c r="D357" s="34">
        <f t="shared" si="79"/>
        <v>986.02825172239955</v>
      </c>
      <c r="E357" s="34">
        <f t="shared" si="80"/>
        <v>3097.6991118430778</v>
      </c>
      <c r="F357" s="39">
        <f t="shared" si="81"/>
        <v>1548.8495559215389</v>
      </c>
      <c r="G357" s="46">
        <f t="shared" si="85"/>
        <v>1.06</v>
      </c>
      <c r="H357" s="5">
        <f t="shared" si="82"/>
        <v>221.6</v>
      </c>
      <c r="I357" s="4"/>
      <c r="J357" s="4">
        <v>0.06</v>
      </c>
      <c r="K357" s="5">
        <f t="shared" si="83"/>
        <v>183.6</v>
      </c>
      <c r="L357" s="4">
        <v>38</v>
      </c>
      <c r="M357" s="7">
        <f t="shared" si="84"/>
        <v>1.0724183006535948</v>
      </c>
      <c r="N357" s="6"/>
    </row>
    <row r="358" spans="1:14" x14ac:dyDescent="0.25">
      <c r="A358" s="4">
        <v>3070</v>
      </c>
      <c r="B358" s="5">
        <f t="shared" si="77"/>
        <v>3292.2</v>
      </c>
      <c r="C358" s="5">
        <f t="shared" si="78"/>
        <v>977.21135058423738</v>
      </c>
      <c r="D358" s="34">
        <f t="shared" si="79"/>
        <v>989.21135058423738</v>
      </c>
      <c r="E358" s="34">
        <f t="shared" si="80"/>
        <v>3107.6991118430774</v>
      </c>
      <c r="F358" s="39">
        <f t="shared" si="81"/>
        <v>1553.8495559215387</v>
      </c>
      <c r="G358" s="46">
        <f t="shared" si="85"/>
        <v>1.06</v>
      </c>
      <c r="H358" s="5">
        <f t="shared" si="82"/>
        <v>222.2</v>
      </c>
      <c r="I358" s="4"/>
      <c r="J358" s="4">
        <v>0.06</v>
      </c>
      <c r="K358" s="5">
        <f t="shared" si="83"/>
        <v>184.2</v>
      </c>
      <c r="L358" s="4">
        <v>38</v>
      </c>
      <c r="M358" s="7">
        <f t="shared" si="84"/>
        <v>1.0723778501628665</v>
      </c>
      <c r="N358" s="6"/>
    </row>
    <row r="359" spans="1:14" x14ac:dyDescent="0.25">
      <c r="A359" s="4">
        <v>3080</v>
      </c>
      <c r="B359" s="5">
        <f t="shared" si="77"/>
        <v>3302.8</v>
      </c>
      <c r="C359" s="5">
        <f t="shared" si="78"/>
        <v>980.39444944607533</v>
      </c>
      <c r="D359" s="34">
        <f t="shared" si="79"/>
        <v>992.39444944607533</v>
      </c>
      <c r="E359" s="34">
        <f t="shared" si="80"/>
        <v>3117.6991118430774</v>
      </c>
      <c r="F359" s="39">
        <f t="shared" si="81"/>
        <v>1558.8495559215387</v>
      </c>
      <c r="G359" s="46">
        <f t="shared" si="85"/>
        <v>1.06</v>
      </c>
      <c r="H359" s="5">
        <f t="shared" si="82"/>
        <v>222.79999999999998</v>
      </c>
      <c r="I359" s="4"/>
      <c r="J359" s="4">
        <v>0.06</v>
      </c>
      <c r="K359" s="5">
        <f t="shared" si="83"/>
        <v>184.79999999999998</v>
      </c>
      <c r="L359" s="4">
        <v>38</v>
      </c>
      <c r="M359" s="7">
        <f t="shared" si="84"/>
        <v>1.0723376623376624</v>
      </c>
      <c r="N359" s="6"/>
    </row>
    <row r="360" spans="1:14" x14ac:dyDescent="0.25">
      <c r="A360" s="4">
        <v>3090</v>
      </c>
      <c r="B360" s="5">
        <f t="shared" si="77"/>
        <v>3313.4</v>
      </c>
      <c r="C360" s="5">
        <f t="shared" si="78"/>
        <v>983.57754830791316</v>
      </c>
      <c r="D360" s="34">
        <f t="shared" si="79"/>
        <v>995.57754830791316</v>
      </c>
      <c r="E360" s="34">
        <f t="shared" si="80"/>
        <v>3127.6991118430774</v>
      </c>
      <c r="F360" s="39">
        <f t="shared" si="81"/>
        <v>1563.8495559215387</v>
      </c>
      <c r="G360" s="46">
        <f t="shared" si="85"/>
        <v>1.06</v>
      </c>
      <c r="H360" s="5">
        <f t="shared" si="82"/>
        <v>223.4</v>
      </c>
      <c r="I360" s="4"/>
      <c r="J360" s="4">
        <v>0.06</v>
      </c>
      <c r="K360" s="5">
        <f t="shared" si="83"/>
        <v>185.4</v>
      </c>
      <c r="L360" s="4">
        <v>38</v>
      </c>
      <c r="M360" s="7">
        <f t="shared" si="84"/>
        <v>1.0722977346278317</v>
      </c>
      <c r="N360" s="6"/>
    </row>
    <row r="361" spans="1:14" x14ac:dyDescent="0.25">
      <c r="A361" s="4">
        <v>3100</v>
      </c>
      <c r="B361" s="5">
        <f t="shared" si="77"/>
        <v>3324</v>
      </c>
      <c r="C361" s="5">
        <f t="shared" si="78"/>
        <v>986.76064716975111</v>
      </c>
      <c r="D361" s="34">
        <f t="shared" si="79"/>
        <v>998.76064716975111</v>
      </c>
      <c r="E361" s="34">
        <f t="shared" si="80"/>
        <v>3137.6991118430774</v>
      </c>
      <c r="F361" s="39">
        <f t="shared" si="81"/>
        <v>1568.8495559215387</v>
      </c>
      <c r="G361" s="46">
        <f t="shared" si="85"/>
        <v>1.06</v>
      </c>
      <c r="H361" s="5">
        <f t="shared" si="82"/>
        <v>224</v>
      </c>
      <c r="I361" s="4"/>
      <c r="J361" s="4">
        <v>0.06</v>
      </c>
      <c r="K361" s="5">
        <f t="shared" si="83"/>
        <v>186</v>
      </c>
      <c r="L361" s="4">
        <v>38</v>
      </c>
      <c r="M361" s="7">
        <f t="shared" si="84"/>
        <v>1.072258064516129</v>
      </c>
      <c r="N361" s="6"/>
    </row>
    <row r="362" spans="1:14" x14ac:dyDescent="0.25">
      <c r="A362" s="4">
        <v>3110</v>
      </c>
      <c r="B362" s="5">
        <f t="shared" si="77"/>
        <v>3334.6</v>
      </c>
      <c r="C362" s="5">
        <f t="shared" si="78"/>
        <v>989.94374603158906</v>
      </c>
      <c r="D362" s="34">
        <f t="shared" si="79"/>
        <v>1001.9437460315891</v>
      </c>
      <c r="E362" s="34">
        <f t="shared" si="80"/>
        <v>3147.6991118430774</v>
      </c>
      <c r="F362" s="39">
        <f t="shared" si="81"/>
        <v>1573.8495559215387</v>
      </c>
      <c r="G362" s="46">
        <f t="shared" si="85"/>
        <v>1.06</v>
      </c>
      <c r="H362" s="5">
        <f t="shared" si="82"/>
        <v>224.6</v>
      </c>
      <c r="I362" s="4"/>
      <c r="J362" s="4">
        <v>0.06</v>
      </c>
      <c r="K362" s="5">
        <f t="shared" si="83"/>
        <v>186.6</v>
      </c>
      <c r="L362" s="4">
        <v>38</v>
      </c>
      <c r="M362" s="7">
        <f t="shared" si="84"/>
        <v>1.0722186495176849</v>
      </c>
      <c r="N362" s="6"/>
    </row>
    <row r="363" spans="1:14" x14ac:dyDescent="0.25">
      <c r="A363" s="4">
        <v>3120</v>
      </c>
      <c r="B363" s="5">
        <f t="shared" si="77"/>
        <v>3345.2</v>
      </c>
      <c r="C363" s="5">
        <f t="shared" si="78"/>
        <v>993.12684489342689</v>
      </c>
      <c r="D363" s="34">
        <f t="shared" si="79"/>
        <v>1005.1268448934269</v>
      </c>
      <c r="E363" s="34">
        <f t="shared" si="80"/>
        <v>3157.6991118430774</v>
      </c>
      <c r="F363" s="39">
        <f t="shared" si="81"/>
        <v>1578.8495559215387</v>
      </c>
      <c r="G363" s="46">
        <f t="shared" si="85"/>
        <v>1.06</v>
      </c>
      <c r="H363" s="5">
        <f t="shared" si="82"/>
        <v>225.2</v>
      </c>
      <c r="I363" s="4"/>
      <c r="J363" s="4">
        <v>0.06</v>
      </c>
      <c r="K363" s="5">
        <f t="shared" si="83"/>
        <v>187.2</v>
      </c>
      <c r="L363" s="4">
        <v>38</v>
      </c>
      <c r="M363" s="7">
        <f t="shared" si="84"/>
        <v>1.0721794871794872</v>
      </c>
      <c r="N363" s="6"/>
    </row>
    <row r="364" spans="1:14" x14ac:dyDescent="0.25">
      <c r="A364" s="4">
        <v>3130</v>
      </c>
      <c r="B364" s="5">
        <f t="shared" si="77"/>
        <v>3355.8</v>
      </c>
      <c r="C364" s="5">
        <f t="shared" si="78"/>
        <v>996.30994375526484</v>
      </c>
      <c r="D364" s="34">
        <f t="shared" si="79"/>
        <v>1008.3099437552648</v>
      </c>
      <c r="E364" s="34">
        <f t="shared" si="80"/>
        <v>3167.6991118430774</v>
      </c>
      <c r="F364" s="39">
        <f t="shared" si="81"/>
        <v>1583.8495559215387</v>
      </c>
      <c r="G364" s="46">
        <f t="shared" si="85"/>
        <v>1.06</v>
      </c>
      <c r="H364" s="5">
        <f t="shared" si="82"/>
        <v>225.79999999999998</v>
      </c>
      <c r="I364" s="4"/>
      <c r="J364" s="4">
        <v>0.06</v>
      </c>
      <c r="K364" s="5">
        <f t="shared" si="83"/>
        <v>187.79999999999998</v>
      </c>
      <c r="L364" s="4">
        <v>38</v>
      </c>
      <c r="M364" s="7">
        <f t="shared" si="84"/>
        <v>1.0721405750798723</v>
      </c>
      <c r="N364" s="6"/>
    </row>
    <row r="365" spans="1:14" x14ac:dyDescent="0.25">
      <c r="A365" s="4">
        <v>3140</v>
      </c>
      <c r="B365" s="5">
        <f t="shared" si="77"/>
        <v>3366.4</v>
      </c>
      <c r="C365" s="5">
        <f t="shared" si="78"/>
        <v>999.49304261710279</v>
      </c>
      <c r="D365" s="34">
        <f t="shared" si="79"/>
        <v>1011.4930426171028</v>
      </c>
      <c r="E365" s="34">
        <f t="shared" si="80"/>
        <v>3177.6991118430778</v>
      </c>
      <c r="F365" s="39">
        <f t="shared" si="81"/>
        <v>1588.8495559215389</v>
      </c>
      <c r="G365" s="46">
        <f t="shared" si="85"/>
        <v>1.06</v>
      </c>
      <c r="H365" s="5">
        <f t="shared" si="82"/>
        <v>226.4</v>
      </c>
      <c r="I365" s="4"/>
      <c r="J365" s="4">
        <v>0.06</v>
      </c>
      <c r="K365" s="5">
        <f t="shared" si="83"/>
        <v>188.4</v>
      </c>
      <c r="L365" s="4">
        <v>38</v>
      </c>
      <c r="M365" s="7">
        <f t="shared" si="84"/>
        <v>1.0721019108280254</v>
      </c>
      <c r="N365" s="6"/>
    </row>
    <row r="366" spans="1:14" x14ac:dyDescent="0.25">
      <c r="A366" s="4">
        <v>3150</v>
      </c>
      <c r="B366" s="5">
        <f t="shared" ref="B366:B429" si="86">A366+K366+L366</f>
        <v>3377</v>
      </c>
      <c r="C366" s="5">
        <f t="shared" ref="C366:C429" si="87">A366/PI()</f>
        <v>1002.6761414789406</v>
      </c>
      <c r="D366" s="34">
        <f t="shared" ref="D366:D429" si="88">C366+12</f>
        <v>1014.6761414789406</v>
      </c>
      <c r="E366" s="34">
        <f t="shared" ref="E366:E429" si="89">D366*PI()</f>
        <v>3187.6991118430774</v>
      </c>
      <c r="F366" s="39">
        <f t="shared" ref="F366:F429" si="90">E366/2</f>
        <v>1593.8495559215387</v>
      </c>
      <c r="G366" s="46">
        <f t="shared" si="85"/>
        <v>1.06</v>
      </c>
      <c r="H366" s="5">
        <f t="shared" ref="H366:H429" si="91">K366+L366</f>
        <v>227</v>
      </c>
      <c r="I366" s="4"/>
      <c r="J366" s="4">
        <v>0.06</v>
      </c>
      <c r="K366" s="5">
        <f t="shared" ref="K366:K429" si="92">A366*J366</f>
        <v>189</v>
      </c>
      <c r="L366" s="4">
        <v>38</v>
      </c>
      <c r="M366" s="7">
        <f t="shared" ref="M366:M429" si="93">B366/A366</f>
        <v>1.0720634920634922</v>
      </c>
      <c r="N366" s="6"/>
    </row>
    <row r="367" spans="1:14" x14ac:dyDescent="0.25">
      <c r="A367" s="4">
        <v>3160</v>
      </c>
      <c r="B367" s="5">
        <f t="shared" si="86"/>
        <v>3387.6</v>
      </c>
      <c r="C367" s="5">
        <f t="shared" si="87"/>
        <v>1005.8592403407786</v>
      </c>
      <c r="D367" s="34">
        <f t="shared" si="88"/>
        <v>1017.8592403407786</v>
      </c>
      <c r="E367" s="34">
        <f t="shared" si="89"/>
        <v>3197.6991118430774</v>
      </c>
      <c r="F367" s="39">
        <f t="shared" si="90"/>
        <v>1598.8495559215387</v>
      </c>
      <c r="G367" s="46">
        <f t="shared" si="85"/>
        <v>1.06</v>
      </c>
      <c r="H367" s="5">
        <f t="shared" si="91"/>
        <v>227.6</v>
      </c>
      <c r="I367" s="4"/>
      <c r="J367" s="4">
        <v>0.06</v>
      </c>
      <c r="K367" s="5">
        <f t="shared" si="92"/>
        <v>189.6</v>
      </c>
      <c r="L367" s="4">
        <v>38</v>
      </c>
      <c r="M367" s="7">
        <f t="shared" si="93"/>
        <v>1.0720253164556961</v>
      </c>
      <c r="N367" s="6"/>
    </row>
    <row r="368" spans="1:14" x14ac:dyDescent="0.25">
      <c r="A368" s="4">
        <v>3170</v>
      </c>
      <c r="B368" s="5">
        <f t="shared" si="86"/>
        <v>3398.2</v>
      </c>
      <c r="C368" s="5">
        <f t="shared" si="87"/>
        <v>1009.0423392026165</v>
      </c>
      <c r="D368" s="34">
        <f t="shared" si="88"/>
        <v>1021.0423392026165</v>
      </c>
      <c r="E368" s="34">
        <f t="shared" si="89"/>
        <v>3207.6991118430778</v>
      </c>
      <c r="F368" s="39">
        <f t="shared" si="90"/>
        <v>1603.8495559215389</v>
      </c>
      <c r="G368" s="46">
        <f t="shared" si="85"/>
        <v>1.06</v>
      </c>
      <c r="H368" s="5">
        <f t="shared" si="91"/>
        <v>228.2</v>
      </c>
      <c r="I368" s="4"/>
      <c r="J368" s="4">
        <v>0.06</v>
      </c>
      <c r="K368" s="5">
        <f t="shared" si="92"/>
        <v>190.2</v>
      </c>
      <c r="L368" s="4">
        <v>38</v>
      </c>
      <c r="M368" s="7">
        <f t="shared" si="93"/>
        <v>1.07198738170347</v>
      </c>
      <c r="N368" s="6"/>
    </row>
    <row r="369" spans="1:14" x14ac:dyDescent="0.25">
      <c r="A369" s="4">
        <v>3180</v>
      </c>
      <c r="B369" s="5">
        <f t="shared" si="86"/>
        <v>3408.8</v>
      </c>
      <c r="C369" s="5">
        <f t="shared" si="87"/>
        <v>1012.2254380644544</v>
      </c>
      <c r="D369" s="34">
        <f t="shared" si="88"/>
        <v>1024.2254380644545</v>
      </c>
      <c r="E369" s="34">
        <f t="shared" si="89"/>
        <v>3217.6991118430778</v>
      </c>
      <c r="F369" s="39">
        <f t="shared" si="90"/>
        <v>1608.8495559215389</v>
      </c>
      <c r="G369" s="46">
        <f t="shared" si="85"/>
        <v>1.06</v>
      </c>
      <c r="H369" s="5">
        <f t="shared" si="91"/>
        <v>228.79999999999998</v>
      </c>
      <c r="I369" s="4"/>
      <c r="J369" s="4">
        <v>0.06</v>
      </c>
      <c r="K369" s="5">
        <f t="shared" si="92"/>
        <v>190.79999999999998</v>
      </c>
      <c r="L369" s="4">
        <v>38</v>
      </c>
      <c r="M369" s="7">
        <f t="shared" si="93"/>
        <v>1.0719496855345914</v>
      </c>
      <c r="N369" s="6"/>
    </row>
    <row r="370" spans="1:14" x14ac:dyDescent="0.25">
      <c r="A370" s="4">
        <v>3190</v>
      </c>
      <c r="B370" s="5">
        <f t="shared" si="86"/>
        <v>3419.4</v>
      </c>
      <c r="C370" s="5">
        <f t="shared" si="87"/>
        <v>1015.4085369262923</v>
      </c>
      <c r="D370" s="34">
        <f t="shared" si="88"/>
        <v>1027.4085369262923</v>
      </c>
      <c r="E370" s="34">
        <f t="shared" si="89"/>
        <v>3227.6991118430774</v>
      </c>
      <c r="F370" s="39">
        <f t="shared" si="90"/>
        <v>1613.8495559215387</v>
      </c>
      <c r="G370" s="46">
        <f t="shared" si="85"/>
        <v>1.06</v>
      </c>
      <c r="H370" s="5">
        <f t="shared" si="91"/>
        <v>229.4</v>
      </c>
      <c r="I370" s="4"/>
      <c r="J370" s="4">
        <v>0.06</v>
      </c>
      <c r="K370" s="5">
        <f t="shared" si="92"/>
        <v>191.4</v>
      </c>
      <c r="L370" s="4">
        <v>38</v>
      </c>
      <c r="M370" s="7">
        <f t="shared" si="93"/>
        <v>1.0719122257053293</v>
      </c>
      <c r="N370" s="6"/>
    </row>
    <row r="371" spans="1:14" x14ac:dyDescent="0.25">
      <c r="A371" s="4">
        <v>3200</v>
      </c>
      <c r="B371" s="5">
        <f t="shared" si="86"/>
        <v>3430</v>
      </c>
      <c r="C371" s="5">
        <f t="shared" si="87"/>
        <v>1018.5916357881301</v>
      </c>
      <c r="D371" s="34">
        <f t="shared" si="88"/>
        <v>1030.5916357881301</v>
      </c>
      <c r="E371" s="34">
        <f t="shared" si="89"/>
        <v>3237.6991118430774</v>
      </c>
      <c r="F371" s="39">
        <f t="shared" si="90"/>
        <v>1618.8495559215387</v>
      </c>
      <c r="G371" s="46">
        <f t="shared" si="85"/>
        <v>1.06</v>
      </c>
      <c r="H371" s="5">
        <f t="shared" si="91"/>
        <v>230</v>
      </c>
      <c r="I371" s="4"/>
      <c r="J371" s="4">
        <v>0.06</v>
      </c>
      <c r="K371" s="5">
        <f t="shared" si="92"/>
        <v>192</v>
      </c>
      <c r="L371" s="4">
        <v>38</v>
      </c>
      <c r="M371" s="7">
        <f t="shared" si="93"/>
        <v>1.0718749999999999</v>
      </c>
      <c r="N371" s="6"/>
    </row>
    <row r="372" spans="1:14" x14ac:dyDescent="0.25">
      <c r="A372" s="4">
        <v>3210</v>
      </c>
      <c r="B372" s="5">
        <f t="shared" si="86"/>
        <v>3440.6</v>
      </c>
      <c r="C372" s="5">
        <f t="shared" si="87"/>
        <v>1021.7747346499681</v>
      </c>
      <c r="D372" s="34">
        <f t="shared" si="88"/>
        <v>1033.7747346499682</v>
      </c>
      <c r="E372" s="34">
        <f t="shared" si="89"/>
        <v>3247.6991118430778</v>
      </c>
      <c r="F372" s="39">
        <f t="shared" si="90"/>
        <v>1623.8495559215389</v>
      </c>
      <c r="G372" s="46">
        <f t="shared" si="85"/>
        <v>1.06</v>
      </c>
      <c r="H372" s="5">
        <f t="shared" si="91"/>
        <v>230.6</v>
      </c>
      <c r="I372" s="4"/>
      <c r="J372" s="4">
        <v>0.06</v>
      </c>
      <c r="K372" s="5">
        <f t="shared" si="92"/>
        <v>192.6</v>
      </c>
      <c r="L372" s="4">
        <v>38</v>
      </c>
      <c r="M372" s="7">
        <f t="shared" si="93"/>
        <v>1.0718380062305295</v>
      </c>
      <c r="N372" s="6"/>
    </row>
    <row r="373" spans="1:14" x14ac:dyDescent="0.25">
      <c r="A373" s="4">
        <v>3220</v>
      </c>
      <c r="B373" s="5">
        <f t="shared" si="86"/>
        <v>3451.2</v>
      </c>
      <c r="C373" s="5">
        <f t="shared" si="87"/>
        <v>1024.957833511806</v>
      </c>
      <c r="D373" s="34">
        <f t="shared" si="88"/>
        <v>1036.957833511806</v>
      </c>
      <c r="E373" s="34">
        <f t="shared" si="89"/>
        <v>3257.6991118430774</v>
      </c>
      <c r="F373" s="39">
        <f t="shared" si="90"/>
        <v>1628.8495559215387</v>
      </c>
      <c r="G373" s="46">
        <f t="shared" si="85"/>
        <v>1.06</v>
      </c>
      <c r="H373" s="5">
        <f t="shared" si="91"/>
        <v>231.2</v>
      </c>
      <c r="I373" s="4"/>
      <c r="J373" s="4">
        <v>0.06</v>
      </c>
      <c r="K373" s="5">
        <f t="shared" si="92"/>
        <v>193.2</v>
      </c>
      <c r="L373" s="4">
        <v>38</v>
      </c>
      <c r="M373" s="7">
        <f t="shared" si="93"/>
        <v>1.0718012422360248</v>
      </c>
      <c r="N373" s="6"/>
    </row>
    <row r="374" spans="1:14" x14ac:dyDescent="0.25">
      <c r="A374" s="4">
        <v>3230</v>
      </c>
      <c r="B374" s="5">
        <f t="shared" si="86"/>
        <v>3461.8</v>
      </c>
      <c r="C374" s="5">
        <f t="shared" si="87"/>
        <v>1028.1409323736439</v>
      </c>
      <c r="D374" s="34">
        <f t="shared" si="88"/>
        <v>1040.1409323736439</v>
      </c>
      <c r="E374" s="34">
        <f t="shared" si="89"/>
        <v>3267.6991118430774</v>
      </c>
      <c r="F374" s="39">
        <f t="shared" si="90"/>
        <v>1633.8495559215387</v>
      </c>
      <c r="G374" s="46">
        <f t="shared" si="85"/>
        <v>1.06</v>
      </c>
      <c r="H374" s="5">
        <f t="shared" si="91"/>
        <v>231.79999999999998</v>
      </c>
      <c r="I374" s="4"/>
      <c r="J374" s="4">
        <v>0.06</v>
      </c>
      <c r="K374" s="5">
        <f t="shared" si="92"/>
        <v>193.79999999999998</v>
      </c>
      <c r="L374" s="4">
        <v>38</v>
      </c>
      <c r="M374" s="7">
        <f t="shared" si="93"/>
        <v>1.071764705882353</v>
      </c>
      <c r="N374" s="6"/>
    </row>
    <row r="375" spans="1:14" x14ac:dyDescent="0.25">
      <c r="A375" s="4">
        <v>3240</v>
      </c>
      <c r="B375" s="5">
        <f t="shared" si="86"/>
        <v>3472.4</v>
      </c>
      <c r="C375" s="5">
        <f t="shared" si="87"/>
        <v>1031.3240312354819</v>
      </c>
      <c r="D375" s="34">
        <f t="shared" si="88"/>
        <v>1043.3240312354819</v>
      </c>
      <c r="E375" s="34">
        <f t="shared" si="89"/>
        <v>3277.6991118430778</v>
      </c>
      <c r="F375" s="39">
        <f t="shared" si="90"/>
        <v>1638.8495559215389</v>
      </c>
      <c r="G375" s="46">
        <f t="shared" si="85"/>
        <v>1.06</v>
      </c>
      <c r="H375" s="5">
        <f t="shared" si="91"/>
        <v>232.4</v>
      </c>
      <c r="I375" s="4"/>
      <c r="J375" s="4">
        <v>0.06</v>
      </c>
      <c r="K375" s="5">
        <f t="shared" si="92"/>
        <v>194.4</v>
      </c>
      <c r="L375" s="4">
        <v>38</v>
      </c>
      <c r="M375" s="7">
        <f t="shared" si="93"/>
        <v>1.0717283950617285</v>
      </c>
      <c r="N375" s="6"/>
    </row>
    <row r="376" spans="1:14" x14ac:dyDescent="0.25">
      <c r="A376" s="4">
        <v>3250</v>
      </c>
      <c r="B376" s="5">
        <f t="shared" si="86"/>
        <v>3483</v>
      </c>
      <c r="C376" s="5">
        <f t="shared" si="87"/>
        <v>1034.5071300973198</v>
      </c>
      <c r="D376" s="34">
        <f t="shared" si="88"/>
        <v>1046.5071300973198</v>
      </c>
      <c r="E376" s="34">
        <f t="shared" si="89"/>
        <v>3287.6991118430778</v>
      </c>
      <c r="F376" s="39">
        <f t="shared" si="90"/>
        <v>1643.8495559215389</v>
      </c>
      <c r="G376" s="46">
        <f t="shared" si="85"/>
        <v>1.06</v>
      </c>
      <c r="H376" s="5">
        <f t="shared" si="91"/>
        <v>233</v>
      </c>
      <c r="I376" s="4"/>
      <c r="J376" s="4">
        <v>0.06</v>
      </c>
      <c r="K376" s="5">
        <f t="shared" si="92"/>
        <v>195</v>
      </c>
      <c r="L376" s="4">
        <v>38</v>
      </c>
      <c r="M376" s="7">
        <f t="shared" si="93"/>
        <v>1.0716923076923077</v>
      </c>
      <c r="N376" s="6"/>
    </row>
    <row r="377" spans="1:14" x14ac:dyDescent="0.25">
      <c r="A377" s="4">
        <v>3260</v>
      </c>
      <c r="B377" s="5">
        <f t="shared" si="86"/>
        <v>3493.6</v>
      </c>
      <c r="C377" s="5">
        <f t="shared" si="87"/>
        <v>1037.6902289591576</v>
      </c>
      <c r="D377" s="34">
        <f t="shared" si="88"/>
        <v>1049.6902289591576</v>
      </c>
      <c r="E377" s="34">
        <f t="shared" si="89"/>
        <v>3297.6991118430774</v>
      </c>
      <c r="F377" s="39">
        <f t="shared" si="90"/>
        <v>1648.8495559215387</v>
      </c>
      <c r="G377" s="46">
        <f t="shared" si="85"/>
        <v>1.06</v>
      </c>
      <c r="H377" s="5">
        <f t="shared" si="91"/>
        <v>233.6</v>
      </c>
      <c r="I377" s="4"/>
      <c r="J377" s="4">
        <v>0.06</v>
      </c>
      <c r="K377" s="5">
        <f t="shared" si="92"/>
        <v>195.6</v>
      </c>
      <c r="L377" s="4">
        <v>38</v>
      </c>
      <c r="M377" s="7">
        <f t="shared" si="93"/>
        <v>1.0716564417177914</v>
      </c>
      <c r="N377" s="6"/>
    </row>
    <row r="378" spans="1:14" x14ac:dyDescent="0.25">
      <c r="A378" s="4">
        <v>3270</v>
      </c>
      <c r="B378" s="5">
        <f t="shared" si="86"/>
        <v>3504.2</v>
      </c>
      <c r="C378" s="5">
        <f t="shared" si="87"/>
        <v>1040.8733278209954</v>
      </c>
      <c r="D378" s="34">
        <f t="shared" si="88"/>
        <v>1052.8733278209954</v>
      </c>
      <c r="E378" s="34">
        <f t="shared" si="89"/>
        <v>3307.6991118430774</v>
      </c>
      <c r="F378" s="39">
        <f t="shared" si="90"/>
        <v>1653.8495559215387</v>
      </c>
      <c r="G378" s="46">
        <f t="shared" si="85"/>
        <v>1.06</v>
      </c>
      <c r="H378" s="5">
        <f t="shared" si="91"/>
        <v>234.2</v>
      </c>
      <c r="I378" s="4"/>
      <c r="J378" s="4">
        <v>0.06</v>
      </c>
      <c r="K378" s="5">
        <f t="shared" si="92"/>
        <v>196.2</v>
      </c>
      <c r="L378" s="4">
        <v>38</v>
      </c>
      <c r="M378" s="7">
        <f t="shared" si="93"/>
        <v>1.0716207951070336</v>
      </c>
      <c r="N378" s="6"/>
    </row>
    <row r="379" spans="1:14" x14ac:dyDescent="0.25">
      <c r="A379" s="4">
        <v>3280</v>
      </c>
      <c r="B379" s="5">
        <f t="shared" si="86"/>
        <v>3514.8</v>
      </c>
      <c r="C379" s="5">
        <f t="shared" si="87"/>
        <v>1044.0564266828335</v>
      </c>
      <c r="D379" s="34">
        <f t="shared" si="88"/>
        <v>1056.0564266828335</v>
      </c>
      <c r="E379" s="34">
        <f t="shared" si="89"/>
        <v>3317.6991118430778</v>
      </c>
      <c r="F379" s="39">
        <f t="shared" si="90"/>
        <v>1658.8495559215389</v>
      </c>
      <c r="G379" s="46">
        <f t="shared" si="85"/>
        <v>1.06</v>
      </c>
      <c r="H379" s="5">
        <f t="shared" si="91"/>
        <v>234.79999999999998</v>
      </c>
      <c r="I379" s="4"/>
      <c r="J379" s="4">
        <v>0.06</v>
      </c>
      <c r="K379" s="5">
        <f t="shared" si="92"/>
        <v>196.79999999999998</v>
      </c>
      <c r="L379" s="4">
        <v>38</v>
      </c>
      <c r="M379" s="7">
        <f t="shared" si="93"/>
        <v>1.0715853658536585</v>
      </c>
      <c r="N379" s="6"/>
    </row>
    <row r="380" spans="1:14" x14ac:dyDescent="0.25">
      <c r="A380" s="4">
        <v>3290</v>
      </c>
      <c r="B380" s="5">
        <f t="shared" si="86"/>
        <v>3525.4</v>
      </c>
      <c r="C380" s="5">
        <f t="shared" si="87"/>
        <v>1047.2395255446713</v>
      </c>
      <c r="D380" s="34">
        <f t="shared" si="88"/>
        <v>1059.2395255446713</v>
      </c>
      <c r="E380" s="34">
        <f t="shared" si="89"/>
        <v>3327.6991118430774</v>
      </c>
      <c r="F380" s="39">
        <f t="shared" si="90"/>
        <v>1663.8495559215387</v>
      </c>
      <c r="G380" s="46">
        <f t="shared" si="85"/>
        <v>1.06</v>
      </c>
      <c r="H380" s="5">
        <f t="shared" si="91"/>
        <v>235.4</v>
      </c>
      <c r="I380" s="4"/>
      <c r="J380" s="4">
        <v>0.06</v>
      </c>
      <c r="K380" s="5">
        <f t="shared" si="92"/>
        <v>197.4</v>
      </c>
      <c r="L380" s="4">
        <v>38</v>
      </c>
      <c r="M380" s="7">
        <f t="shared" si="93"/>
        <v>1.0715501519756838</v>
      </c>
      <c r="N380" s="6"/>
    </row>
    <row r="381" spans="1:14" x14ac:dyDescent="0.25">
      <c r="A381" s="4">
        <v>3300</v>
      </c>
      <c r="B381" s="5">
        <f t="shared" si="86"/>
        <v>3536</v>
      </c>
      <c r="C381" s="5">
        <f t="shared" si="87"/>
        <v>1050.4226244065092</v>
      </c>
      <c r="D381" s="34">
        <f t="shared" si="88"/>
        <v>1062.4226244065092</v>
      </c>
      <c r="E381" s="34">
        <f t="shared" si="89"/>
        <v>3337.6991118430774</v>
      </c>
      <c r="F381" s="39">
        <f t="shared" si="90"/>
        <v>1668.8495559215387</v>
      </c>
      <c r="G381" s="46">
        <f t="shared" si="85"/>
        <v>1.06</v>
      </c>
      <c r="H381" s="5">
        <f t="shared" si="91"/>
        <v>236</v>
      </c>
      <c r="I381" s="4"/>
      <c r="J381" s="4">
        <v>0.06</v>
      </c>
      <c r="K381" s="5">
        <f t="shared" si="92"/>
        <v>198</v>
      </c>
      <c r="L381" s="4">
        <v>38</v>
      </c>
      <c r="M381" s="7">
        <f t="shared" si="93"/>
        <v>1.0715151515151515</v>
      </c>
      <c r="N381" s="6"/>
    </row>
    <row r="382" spans="1:14" x14ac:dyDescent="0.25">
      <c r="A382" s="4">
        <v>3310</v>
      </c>
      <c r="B382" s="5">
        <f t="shared" si="86"/>
        <v>3546.6</v>
      </c>
      <c r="C382" s="5">
        <f t="shared" si="87"/>
        <v>1053.6057232683472</v>
      </c>
      <c r="D382" s="34">
        <f t="shared" si="88"/>
        <v>1065.6057232683472</v>
      </c>
      <c r="E382" s="34">
        <f t="shared" si="89"/>
        <v>3347.6991118430778</v>
      </c>
      <c r="F382" s="39">
        <f t="shared" si="90"/>
        <v>1673.8495559215389</v>
      </c>
      <c r="G382" s="46">
        <f t="shared" si="85"/>
        <v>1.06</v>
      </c>
      <c r="H382" s="5">
        <f t="shared" si="91"/>
        <v>236.6</v>
      </c>
      <c r="I382" s="4"/>
      <c r="J382" s="4">
        <v>0.06</v>
      </c>
      <c r="K382" s="5">
        <f t="shared" si="92"/>
        <v>198.6</v>
      </c>
      <c r="L382" s="4">
        <v>38</v>
      </c>
      <c r="M382" s="7">
        <f t="shared" si="93"/>
        <v>1.0714803625377642</v>
      </c>
      <c r="N382" s="6"/>
    </row>
    <row r="383" spans="1:14" x14ac:dyDescent="0.25">
      <c r="A383" s="4">
        <v>3320</v>
      </c>
      <c r="B383" s="5">
        <f t="shared" si="86"/>
        <v>3557.2</v>
      </c>
      <c r="C383" s="5">
        <f t="shared" si="87"/>
        <v>1056.7888221301851</v>
      </c>
      <c r="D383" s="34">
        <f t="shared" si="88"/>
        <v>1068.7888221301851</v>
      </c>
      <c r="E383" s="34">
        <f t="shared" si="89"/>
        <v>3357.6991118430774</v>
      </c>
      <c r="F383" s="39">
        <f t="shared" si="90"/>
        <v>1678.8495559215387</v>
      </c>
      <c r="G383" s="46">
        <f t="shared" si="85"/>
        <v>1.06</v>
      </c>
      <c r="H383" s="5">
        <f t="shared" si="91"/>
        <v>237.2</v>
      </c>
      <c r="I383" s="4"/>
      <c r="J383" s="4">
        <v>0.06</v>
      </c>
      <c r="K383" s="5">
        <f t="shared" si="92"/>
        <v>199.2</v>
      </c>
      <c r="L383" s="4">
        <v>38</v>
      </c>
      <c r="M383" s="7">
        <f t="shared" si="93"/>
        <v>1.0714457831325301</v>
      </c>
      <c r="N383" s="6"/>
    </row>
    <row r="384" spans="1:14" x14ac:dyDescent="0.25">
      <c r="A384" s="4">
        <v>3330</v>
      </c>
      <c r="B384" s="5">
        <f t="shared" si="86"/>
        <v>3567.8</v>
      </c>
      <c r="C384" s="5">
        <f t="shared" si="87"/>
        <v>1059.9719209920229</v>
      </c>
      <c r="D384" s="34">
        <f t="shared" si="88"/>
        <v>1071.9719209920229</v>
      </c>
      <c r="E384" s="34">
        <f t="shared" si="89"/>
        <v>3367.6991118430774</v>
      </c>
      <c r="F384" s="39">
        <f t="shared" si="90"/>
        <v>1683.8495559215387</v>
      </c>
      <c r="G384" s="46">
        <f t="shared" si="85"/>
        <v>1.06</v>
      </c>
      <c r="H384" s="5">
        <f t="shared" si="91"/>
        <v>237.79999999999998</v>
      </c>
      <c r="I384" s="4"/>
      <c r="J384" s="4">
        <v>0.06</v>
      </c>
      <c r="K384" s="5">
        <f t="shared" si="92"/>
        <v>199.79999999999998</v>
      </c>
      <c r="L384" s="4">
        <v>38</v>
      </c>
      <c r="M384" s="7">
        <f t="shared" si="93"/>
        <v>1.0714114114114115</v>
      </c>
      <c r="N384" s="6"/>
    </row>
    <row r="385" spans="1:14" x14ac:dyDescent="0.25">
      <c r="A385" s="4">
        <v>3340</v>
      </c>
      <c r="B385" s="5">
        <f t="shared" si="86"/>
        <v>3578.4</v>
      </c>
      <c r="C385" s="5">
        <f t="shared" si="87"/>
        <v>1063.1550198538609</v>
      </c>
      <c r="D385" s="34">
        <f t="shared" si="88"/>
        <v>1075.1550198538609</v>
      </c>
      <c r="E385" s="34">
        <f t="shared" si="89"/>
        <v>3377.6991118430778</v>
      </c>
      <c r="F385" s="39">
        <f t="shared" si="90"/>
        <v>1688.8495559215389</v>
      </c>
      <c r="G385" s="46">
        <f t="shared" si="85"/>
        <v>1.06</v>
      </c>
      <c r="H385" s="5">
        <f t="shared" si="91"/>
        <v>238.4</v>
      </c>
      <c r="I385" s="4"/>
      <c r="J385" s="4">
        <v>0.06</v>
      </c>
      <c r="K385" s="5">
        <f t="shared" si="92"/>
        <v>200.4</v>
      </c>
      <c r="L385" s="4">
        <v>38</v>
      </c>
      <c r="M385" s="7">
        <f t="shared" si="93"/>
        <v>1.0713772455089821</v>
      </c>
      <c r="N385" s="6"/>
    </row>
    <row r="386" spans="1:14" x14ac:dyDescent="0.25">
      <c r="A386" s="4">
        <v>3350</v>
      </c>
      <c r="B386" s="5">
        <f t="shared" si="86"/>
        <v>3589</v>
      </c>
      <c r="C386" s="5">
        <f t="shared" si="87"/>
        <v>1066.3381187156988</v>
      </c>
      <c r="D386" s="34">
        <f t="shared" si="88"/>
        <v>1078.3381187156988</v>
      </c>
      <c r="E386" s="34">
        <f t="shared" si="89"/>
        <v>3387.6991118430774</v>
      </c>
      <c r="F386" s="39">
        <f t="shared" si="90"/>
        <v>1693.8495559215387</v>
      </c>
      <c r="G386" s="46">
        <f t="shared" si="85"/>
        <v>1.06</v>
      </c>
      <c r="H386" s="5">
        <f t="shared" si="91"/>
        <v>239</v>
      </c>
      <c r="I386" s="4"/>
      <c r="J386" s="4">
        <v>0.06</v>
      </c>
      <c r="K386" s="5">
        <f t="shared" si="92"/>
        <v>201</v>
      </c>
      <c r="L386" s="4">
        <v>38</v>
      </c>
      <c r="M386" s="7">
        <f t="shared" si="93"/>
        <v>1.0713432835820895</v>
      </c>
      <c r="N386" s="6"/>
    </row>
    <row r="387" spans="1:14" x14ac:dyDescent="0.25">
      <c r="A387" s="4">
        <v>3360</v>
      </c>
      <c r="B387" s="5">
        <f t="shared" si="86"/>
        <v>3599.6</v>
      </c>
      <c r="C387" s="5">
        <f t="shared" si="87"/>
        <v>1069.5212175775366</v>
      </c>
      <c r="D387" s="34">
        <f t="shared" si="88"/>
        <v>1081.5212175775366</v>
      </c>
      <c r="E387" s="34">
        <f t="shared" si="89"/>
        <v>3397.6991118430774</v>
      </c>
      <c r="F387" s="39">
        <f t="shared" si="90"/>
        <v>1698.8495559215387</v>
      </c>
      <c r="G387" s="46">
        <f t="shared" si="85"/>
        <v>1.06</v>
      </c>
      <c r="H387" s="5">
        <f t="shared" si="91"/>
        <v>239.6</v>
      </c>
      <c r="I387" s="4"/>
      <c r="J387" s="4">
        <v>0.06</v>
      </c>
      <c r="K387" s="5">
        <f t="shared" si="92"/>
        <v>201.6</v>
      </c>
      <c r="L387" s="4">
        <v>38</v>
      </c>
      <c r="M387" s="7">
        <f t="shared" si="93"/>
        <v>1.0713095238095238</v>
      </c>
      <c r="N387" s="6"/>
    </row>
    <row r="388" spans="1:14" x14ac:dyDescent="0.25">
      <c r="A388" s="4">
        <v>3370</v>
      </c>
      <c r="B388" s="5">
        <f t="shared" si="86"/>
        <v>3610.2</v>
      </c>
      <c r="C388" s="5">
        <f t="shared" si="87"/>
        <v>1072.7043164393747</v>
      </c>
      <c r="D388" s="34">
        <f t="shared" si="88"/>
        <v>1084.7043164393747</v>
      </c>
      <c r="E388" s="34">
        <f t="shared" si="89"/>
        <v>3407.6991118430778</v>
      </c>
      <c r="F388" s="39">
        <f t="shared" si="90"/>
        <v>1703.8495559215389</v>
      </c>
      <c r="G388" s="46">
        <f t="shared" si="85"/>
        <v>1.06</v>
      </c>
      <c r="H388" s="5">
        <f t="shared" si="91"/>
        <v>240.2</v>
      </c>
      <c r="I388" s="4"/>
      <c r="J388" s="4">
        <v>0.06</v>
      </c>
      <c r="K388" s="5">
        <f t="shared" si="92"/>
        <v>202.2</v>
      </c>
      <c r="L388" s="4">
        <v>38</v>
      </c>
      <c r="M388" s="7">
        <f t="shared" si="93"/>
        <v>1.0712759643916914</v>
      </c>
      <c r="N388" s="6"/>
    </row>
    <row r="389" spans="1:14" x14ac:dyDescent="0.25">
      <c r="A389" s="4">
        <v>3380</v>
      </c>
      <c r="B389" s="5">
        <f t="shared" si="86"/>
        <v>3620.8</v>
      </c>
      <c r="C389" s="5">
        <f t="shared" si="87"/>
        <v>1075.8874153012125</v>
      </c>
      <c r="D389" s="34">
        <f t="shared" si="88"/>
        <v>1087.8874153012125</v>
      </c>
      <c r="E389" s="34">
        <f t="shared" si="89"/>
        <v>3417.6991118430774</v>
      </c>
      <c r="F389" s="39">
        <f t="shared" si="90"/>
        <v>1708.8495559215387</v>
      </c>
      <c r="G389" s="46">
        <f t="shared" si="85"/>
        <v>1.06</v>
      </c>
      <c r="H389" s="5">
        <f t="shared" si="91"/>
        <v>240.79999999999998</v>
      </c>
      <c r="I389" s="4"/>
      <c r="J389" s="4">
        <v>0.06</v>
      </c>
      <c r="K389" s="5">
        <f t="shared" si="92"/>
        <v>202.79999999999998</v>
      </c>
      <c r="L389" s="4">
        <v>38</v>
      </c>
      <c r="M389" s="7">
        <f t="shared" si="93"/>
        <v>1.071242603550296</v>
      </c>
      <c r="N389" s="6"/>
    </row>
    <row r="390" spans="1:14" x14ac:dyDescent="0.25">
      <c r="A390" s="4">
        <v>3390</v>
      </c>
      <c r="B390" s="5">
        <f t="shared" si="86"/>
        <v>3631.4</v>
      </c>
      <c r="C390" s="5">
        <f t="shared" si="87"/>
        <v>1079.0705141630503</v>
      </c>
      <c r="D390" s="34">
        <f t="shared" si="88"/>
        <v>1091.0705141630503</v>
      </c>
      <c r="E390" s="34">
        <f t="shared" si="89"/>
        <v>3427.6991118430774</v>
      </c>
      <c r="F390" s="39">
        <f t="shared" si="90"/>
        <v>1713.8495559215387</v>
      </c>
      <c r="G390" s="46">
        <f t="shared" ref="G390:G453" si="94">ROUNDUP(B390/E390,2)</f>
        <v>1.06</v>
      </c>
      <c r="H390" s="5">
        <f t="shared" si="91"/>
        <v>241.4</v>
      </c>
      <c r="I390" s="4"/>
      <c r="J390" s="4">
        <v>0.06</v>
      </c>
      <c r="K390" s="5">
        <f t="shared" si="92"/>
        <v>203.4</v>
      </c>
      <c r="L390" s="4">
        <v>38</v>
      </c>
      <c r="M390" s="7">
        <f t="shared" si="93"/>
        <v>1.0712094395280236</v>
      </c>
      <c r="N390" s="6"/>
    </row>
    <row r="391" spans="1:14" x14ac:dyDescent="0.25">
      <c r="A391" s="4">
        <v>3400</v>
      </c>
      <c r="B391" s="5">
        <f t="shared" si="86"/>
        <v>3642</v>
      </c>
      <c r="C391" s="5">
        <f t="shared" si="87"/>
        <v>1082.2536130248884</v>
      </c>
      <c r="D391" s="34">
        <f t="shared" si="88"/>
        <v>1094.2536130248884</v>
      </c>
      <c r="E391" s="34">
        <f t="shared" si="89"/>
        <v>3437.6991118430778</v>
      </c>
      <c r="F391" s="39">
        <f t="shared" si="90"/>
        <v>1718.8495559215389</v>
      </c>
      <c r="G391" s="46">
        <f t="shared" si="94"/>
        <v>1.06</v>
      </c>
      <c r="H391" s="5">
        <f t="shared" si="91"/>
        <v>242</v>
      </c>
      <c r="I391" s="4"/>
      <c r="J391" s="4">
        <v>0.06</v>
      </c>
      <c r="K391" s="5">
        <f t="shared" si="92"/>
        <v>204</v>
      </c>
      <c r="L391" s="4">
        <v>38</v>
      </c>
      <c r="M391" s="7">
        <f t="shared" si="93"/>
        <v>1.0711764705882354</v>
      </c>
      <c r="N391" s="6"/>
    </row>
    <row r="392" spans="1:14" x14ac:dyDescent="0.25">
      <c r="A392" s="4">
        <v>3410</v>
      </c>
      <c r="B392" s="5">
        <f t="shared" si="86"/>
        <v>3652.6</v>
      </c>
      <c r="C392" s="5">
        <f t="shared" si="87"/>
        <v>1085.4367118867262</v>
      </c>
      <c r="D392" s="34">
        <f t="shared" si="88"/>
        <v>1097.4367118867262</v>
      </c>
      <c r="E392" s="34">
        <f t="shared" si="89"/>
        <v>3447.6991118430774</v>
      </c>
      <c r="F392" s="39">
        <f t="shared" si="90"/>
        <v>1723.8495559215387</v>
      </c>
      <c r="G392" s="46">
        <f t="shared" si="94"/>
        <v>1.06</v>
      </c>
      <c r="H392" s="5">
        <f t="shared" si="91"/>
        <v>242.6</v>
      </c>
      <c r="I392" s="4"/>
      <c r="J392" s="4">
        <v>0.06</v>
      </c>
      <c r="K392" s="5">
        <f t="shared" si="92"/>
        <v>204.6</v>
      </c>
      <c r="L392" s="4">
        <v>38</v>
      </c>
      <c r="M392" s="7">
        <f t="shared" si="93"/>
        <v>1.0711436950146627</v>
      </c>
      <c r="N392" s="6"/>
    </row>
    <row r="393" spans="1:14" x14ac:dyDescent="0.25">
      <c r="A393" s="4">
        <v>3420</v>
      </c>
      <c r="B393" s="5">
        <f t="shared" si="86"/>
        <v>3663.2</v>
      </c>
      <c r="C393" s="5">
        <f t="shared" si="87"/>
        <v>1088.6198107485641</v>
      </c>
      <c r="D393" s="34">
        <f t="shared" si="88"/>
        <v>1100.6198107485641</v>
      </c>
      <c r="E393" s="34">
        <f t="shared" si="89"/>
        <v>3457.6991118430774</v>
      </c>
      <c r="F393" s="39">
        <f t="shared" si="90"/>
        <v>1728.8495559215387</v>
      </c>
      <c r="G393" s="46">
        <f t="shared" si="94"/>
        <v>1.06</v>
      </c>
      <c r="H393" s="5">
        <f t="shared" si="91"/>
        <v>243.2</v>
      </c>
      <c r="I393" s="4"/>
      <c r="J393" s="4">
        <v>0.06</v>
      </c>
      <c r="K393" s="5">
        <f t="shared" si="92"/>
        <v>205.2</v>
      </c>
      <c r="L393" s="4">
        <v>38</v>
      </c>
      <c r="M393" s="7">
        <f t="shared" si="93"/>
        <v>1.0711111111111111</v>
      </c>
      <c r="N393" s="6"/>
    </row>
    <row r="394" spans="1:14" x14ac:dyDescent="0.25">
      <c r="A394" s="4">
        <v>3430</v>
      </c>
      <c r="B394" s="5">
        <f t="shared" si="86"/>
        <v>3673.8</v>
      </c>
      <c r="C394" s="5">
        <f t="shared" si="87"/>
        <v>1091.8029096104021</v>
      </c>
      <c r="D394" s="34">
        <f t="shared" si="88"/>
        <v>1103.8029096104021</v>
      </c>
      <c r="E394" s="34">
        <f t="shared" si="89"/>
        <v>3467.6991118430778</v>
      </c>
      <c r="F394" s="39">
        <f t="shared" si="90"/>
        <v>1733.8495559215389</v>
      </c>
      <c r="G394" s="46">
        <f t="shared" si="94"/>
        <v>1.06</v>
      </c>
      <c r="H394" s="5">
        <f t="shared" si="91"/>
        <v>243.79999999999998</v>
      </c>
      <c r="I394" s="4"/>
      <c r="J394" s="4">
        <v>0.06</v>
      </c>
      <c r="K394" s="5">
        <f t="shared" si="92"/>
        <v>205.79999999999998</v>
      </c>
      <c r="L394" s="4">
        <v>38</v>
      </c>
      <c r="M394" s="7">
        <f t="shared" si="93"/>
        <v>1.0710787172011662</v>
      </c>
      <c r="N394" s="6"/>
    </row>
    <row r="395" spans="1:14" x14ac:dyDescent="0.25">
      <c r="A395" s="4">
        <v>3440</v>
      </c>
      <c r="B395" s="5">
        <f t="shared" si="86"/>
        <v>3684.4</v>
      </c>
      <c r="C395" s="5">
        <f t="shared" si="87"/>
        <v>1094.98600847224</v>
      </c>
      <c r="D395" s="34">
        <f t="shared" si="88"/>
        <v>1106.98600847224</v>
      </c>
      <c r="E395" s="34">
        <f t="shared" si="89"/>
        <v>3477.6991118430774</v>
      </c>
      <c r="F395" s="39">
        <f t="shared" si="90"/>
        <v>1738.8495559215387</v>
      </c>
      <c r="G395" s="46">
        <f t="shared" si="94"/>
        <v>1.06</v>
      </c>
      <c r="H395" s="5">
        <f t="shared" si="91"/>
        <v>244.4</v>
      </c>
      <c r="I395" s="4"/>
      <c r="J395" s="4">
        <v>0.06</v>
      </c>
      <c r="K395" s="5">
        <f t="shared" si="92"/>
        <v>206.4</v>
      </c>
      <c r="L395" s="4">
        <v>38</v>
      </c>
      <c r="M395" s="7">
        <f t="shared" si="93"/>
        <v>1.0710465116279071</v>
      </c>
      <c r="N395" s="6"/>
    </row>
    <row r="396" spans="1:14" x14ac:dyDescent="0.25">
      <c r="A396" s="4">
        <v>3450</v>
      </c>
      <c r="B396" s="5">
        <f t="shared" si="86"/>
        <v>3695</v>
      </c>
      <c r="C396" s="5">
        <f t="shared" si="87"/>
        <v>1098.1691073340778</v>
      </c>
      <c r="D396" s="34">
        <f t="shared" si="88"/>
        <v>1110.1691073340778</v>
      </c>
      <c r="E396" s="34">
        <f t="shared" si="89"/>
        <v>3487.6991118430774</v>
      </c>
      <c r="F396" s="39">
        <f t="shared" si="90"/>
        <v>1743.8495559215387</v>
      </c>
      <c r="G396" s="46">
        <f t="shared" si="94"/>
        <v>1.06</v>
      </c>
      <c r="H396" s="5">
        <f t="shared" si="91"/>
        <v>245</v>
      </c>
      <c r="I396" s="4"/>
      <c r="J396" s="4">
        <v>0.06</v>
      </c>
      <c r="K396" s="5">
        <f t="shared" si="92"/>
        <v>207</v>
      </c>
      <c r="L396" s="4">
        <v>38</v>
      </c>
      <c r="M396" s="7">
        <f t="shared" si="93"/>
        <v>1.0710144927536231</v>
      </c>
      <c r="N396" s="6"/>
    </row>
    <row r="397" spans="1:14" x14ac:dyDescent="0.25">
      <c r="A397" s="4">
        <v>3460</v>
      </c>
      <c r="B397" s="5">
        <f t="shared" si="86"/>
        <v>3705.6</v>
      </c>
      <c r="C397" s="5">
        <f t="shared" si="87"/>
        <v>1101.3522061959159</v>
      </c>
      <c r="D397" s="34">
        <f t="shared" si="88"/>
        <v>1113.3522061959159</v>
      </c>
      <c r="E397" s="34">
        <f t="shared" si="89"/>
        <v>3497.6991118430778</v>
      </c>
      <c r="F397" s="39">
        <f t="shared" si="90"/>
        <v>1748.8495559215389</v>
      </c>
      <c r="G397" s="46">
        <f t="shared" si="94"/>
        <v>1.06</v>
      </c>
      <c r="H397" s="5">
        <f t="shared" si="91"/>
        <v>245.6</v>
      </c>
      <c r="I397" s="4"/>
      <c r="J397" s="4">
        <v>0.06</v>
      </c>
      <c r="K397" s="5">
        <f t="shared" si="92"/>
        <v>207.6</v>
      </c>
      <c r="L397" s="4">
        <v>38</v>
      </c>
      <c r="M397" s="7">
        <f t="shared" si="93"/>
        <v>1.0709826589595375</v>
      </c>
      <c r="N397" s="6"/>
    </row>
    <row r="398" spans="1:14" x14ac:dyDescent="0.25">
      <c r="A398" s="4">
        <v>3470</v>
      </c>
      <c r="B398" s="5">
        <f t="shared" si="86"/>
        <v>3716.2</v>
      </c>
      <c r="C398" s="5">
        <f t="shared" si="87"/>
        <v>1104.5353050577537</v>
      </c>
      <c r="D398" s="34">
        <f t="shared" si="88"/>
        <v>1116.5353050577537</v>
      </c>
      <c r="E398" s="34">
        <f t="shared" si="89"/>
        <v>3507.6991118430774</v>
      </c>
      <c r="F398" s="39">
        <f t="shared" si="90"/>
        <v>1753.8495559215387</v>
      </c>
      <c r="G398" s="46">
        <f t="shared" si="94"/>
        <v>1.06</v>
      </c>
      <c r="H398" s="5">
        <f t="shared" si="91"/>
        <v>246.2</v>
      </c>
      <c r="I398" s="4"/>
      <c r="J398" s="4">
        <v>0.06</v>
      </c>
      <c r="K398" s="5">
        <f t="shared" si="92"/>
        <v>208.2</v>
      </c>
      <c r="L398" s="4">
        <v>38</v>
      </c>
      <c r="M398" s="7">
        <f t="shared" si="93"/>
        <v>1.0709510086455332</v>
      </c>
      <c r="N398" s="6"/>
    </row>
    <row r="399" spans="1:14" x14ac:dyDescent="0.25">
      <c r="A399" s="4">
        <v>3480</v>
      </c>
      <c r="B399" s="5">
        <f t="shared" si="86"/>
        <v>3726.8</v>
      </c>
      <c r="C399" s="5">
        <f t="shared" si="87"/>
        <v>1107.7184039195915</v>
      </c>
      <c r="D399" s="34">
        <f t="shared" si="88"/>
        <v>1119.7184039195915</v>
      </c>
      <c r="E399" s="34">
        <f t="shared" si="89"/>
        <v>3517.6991118430774</v>
      </c>
      <c r="F399" s="39">
        <f t="shared" si="90"/>
        <v>1758.8495559215387</v>
      </c>
      <c r="G399" s="46">
        <f t="shared" si="94"/>
        <v>1.06</v>
      </c>
      <c r="H399" s="5">
        <f t="shared" si="91"/>
        <v>246.79999999999998</v>
      </c>
      <c r="I399" s="4"/>
      <c r="J399" s="4">
        <v>0.06</v>
      </c>
      <c r="K399" s="5">
        <f t="shared" si="92"/>
        <v>208.79999999999998</v>
      </c>
      <c r="L399" s="4">
        <v>38</v>
      </c>
      <c r="M399" s="7">
        <f t="shared" si="93"/>
        <v>1.070919540229885</v>
      </c>
      <c r="N399" s="6"/>
    </row>
    <row r="400" spans="1:14" x14ac:dyDescent="0.25">
      <c r="A400" s="4">
        <v>3490</v>
      </c>
      <c r="B400" s="5">
        <f t="shared" si="86"/>
        <v>3737.4</v>
      </c>
      <c r="C400" s="5">
        <f t="shared" si="87"/>
        <v>1110.9015027814296</v>
      </c>
      <c r="D400" s="34">
        <f t="shared" si="88"/>
        <v>1122.9015027814296</v>
      </c>
      <c r="E400" s="34">
        <f t="shared" si="89"/>
        <v>3527.6991118430778</v>
      </c>
      <c r="F400" s="39">
        <f t="shared" si="90"/>
        <v>1763.8495559215389</v>
      </c>
      <c r="G400" s="46">
        <f t="shared" si="94"/>
        <v>1.06</v>
      </c>
      <c r="H400" s="5">
        <f t="shared" si="91"/>
        <v>247.4</v>
      </c>
      <c r="I400" s="4"/>
      <c r="J400" s="4">
        <v>0.06</v>
      </c>
      <c r="K400" s="5">
        <f t="shared" si="92"/>
        <v>209.4</v>
      </c>
      <c r="L400" s="4">
        <v>38</v>
      </c>
      <c r="M400" s="7">
        <f t="shared" si="93"/>
        <v>1.0708882521489971</v>
      </c>
      <c r="N400" s="6"/>
    </row>
    <row r="401" spans="1:14" x14ac:dyDescent="0.25">
      <c r="A401" s="4">
        <v>3500</v>
      </c>
      <c r="B401" s="5">
        <f t="shared" si="86"/>
        <v>3748</v>
      </c>
      <c r="C401" s="5">
        <f t="shared" si="87"/>
        <v>1114.0846016432674</v>
      </c>
      <c r="D401" s="34">
        <f t="shared" si="88"/>
        <v>1126.0846016432674</v>
      </c>
      <c r="E401" s="34">
        <f t="shared" si="89"/>
        <v>3537.6991118430778</v>
      </c>
      <c r="F401" s="39">
        <f t="shared" si="90"/>
        <v>1768.8495559215389</v>
      </c>
      <c r="G401" s="46">
        <f t="shared" si="94"/>
        <v>1.06</v>
      </c>
      <c r="H401" s="5">
        <f t="shared" si="91"/>
        <v>248</v>
      </c>
      <c r="I401" s="4"/>
      <c r="J401" s="4">
        <v>0.06</v>
      </c>
      <c r="K401" s="5">
        <f t="shared" si="92"/>
        <v>210</v>
      </c>
      <c r="L401" s="4">
        <v>38</v>
      </c>
      <c r="M401" s="7">
        <f t="shared" si="93"/>
        <v>1.070857142857143</v>
      </c>
      <c r="N401" s="6"/>
    </row>
    <row r="402" spans="1:14" x14ac:dyDescent="0.25">
      <c r="A402" s="4">
        <v>3510</v>
      </c>
      <c r="B402" s="5">
        <f t="shared" si="86"/>
        <v>3758.6</v>
      </c>
      <c r="C402" s="5">
        <f t="shared" si="87"/>
        <v>1117.2677005051053</v>
      </c>
      <c r="D402" s="34">
        <f t="shared" si="88"/>
        <v>1129.2677005051053</v>
      </c>
      <c r="E402" s="34">
        <f t="shared" si="89"/>
        <v>3547.6991118430774</v>
      </c>
      <c r="F402" s="39">
        <f t="shared" si="90"/>
        <v>1773.8495559215387</v>
      </c>
      <c r="G402" s="46">
        <f t="shared" si="94"/>
        <v>1.06</v>
      </c>
      <c r="H402" s="5">
        <f t="shared" si="91"/>
        <v>248.6</v>
      </c>
      <c r="I402" s="4"/>
      <c r="J402" s="4">
        <v>0.06</v>
      </c>
      <c r="K402" s="5">
        <f t="shared" si="92"/>
        <v>210.6</v>
      </c>
      <c r="L402" s="4">
        <v>38</v>
      </c>
      <c r="M402" s="7">
        <f t="shared" si="93"/>
        <v>1.0708262108262108</v>
      </c>
      <c r="N402" s="6"/>
    </row>
    <row r="403" spans="1:14" x14ac:dyDescent="0.25">
      <c r="A403" s="4">
        <v>3520</v>
      </c>
      <c r="B403" s="5">
        <f t="shared" si="86"/>
        <v>3769.2</v>
      </c>
      <c r="C403" s="5">
        <f t="shared" si="87"/>
        <v>1120.4507993669431</v>
      </c>
      <c r="D403" s="34">
        <f t="shared" si="88"/>
        <v>1132.4507993669431</v>
      </c>
      <c r="E403" s="34">
        <f t="shared" si="89"/>
        <v>3557.6991118430774</v>
      </c>
      <c r="F403" s="39">
        <f t="shared" si="90"/>
        <v>1778.8495559215387</v>
      </c>
      <c r="G403" s="46">
        <f t="shared" si="94"/>
        <v>1.06</v>
      </c>
      <c r="H403" s="5">
        <f t="shared" si="91"/>
        <v>249.2</v>
      </c>
      <c r="I403" s="4"/>
      <c r="J403" s="4">
        <v>0.06</v>
      </c>
      <c r="K403" s="5">
        <f t="shared" si="92"/>
        <v>211.2</v>
      </c>
      <c r="L403" s="4">
        <v>38</v>
      </c>
      <c r="M403" s="7">
        <f t="shared" si="93"/>
        <v>1.0707954545454546</v>
      </c>
      <c r="N403" s="6"/>
    </row>
    <row r="404" spans="1:14" x14ac:dyDescent="0.25">
      <c r="A404" s="4">
        <v>3530</v>
      </c>
      <c r="B404" s="5">
        <f t="shared" si="86"/>
        <v>3779.8</v>
      </c>
      <c r="C404" s="5">
        <f t="shared" si="87"/>
        <v>1123.6338982287812</v>
      </c>
      <c r="D404" s="34">
        <f t="shared" si="88"/>
        <v>1135.6338982287812</v>
      </c>
      <c r="E404" s="34">
        <f t="shared" si="89"/>
        <v>3567.6991118430778</v>
      </c>
      <c r="F404" s="39">
        <f t="shared" si="90"/>
        <v>1783.8495559215389</v>
      </c>
      <c r="G404" s="46">
        <f t="shared" si="94"/>
        <v>1.06</v>
      </c>
      <c r="H404" s="5">
        <f t="shared" si="91"/>
        <v>249.79999999999998</v>
      </c>
      <c r="I404" s="4"/>
      <c r="J404" s="4">
        <v>0.06</v>
      </c>
      <c r="K404" s="5">
        <f t="shared" si="92"/>
        <v>211.79999999999998</v>
      </c>
      <c r="L404" s="4">
        <v>38</v>
      </c>
      <c r="M404" s="7">
        <f t="shared" si="93"/>
        <v>1.0707648725212464</v>
      </c>
      <c r="N404" s="6"/>
    </row>
    <row r="405" spans="1:14" x14ac:dyDescent="0.25">
      <c r="A405" s="4">
        <v>3540</v>
      </c>
      <c r="B405" s="5">
        <f t="shared" si="86"/>
        <v>3790.4</v>
      </c>
      <c r="C405" s="5">
        <f t="shared" si="87"/>
        <v>1126.816997090619</v>
      </c>
      <c r="D405" s="34">
        <f t="shared" si="88"/>
        <v>1138.816997090619</v>
      </c>
      <c r="E405" s="34">
        <f t="shared" si="89"/>
        <v>3577.6991118430774</v>
      </c>
      <c r="F405" s="39">
        <f t="shared" si="90"/>
        <v>1788.8495559215387</v>
      </c>
      <c r="G405" s="46">
        <f t="shared" si="94"/>
        <v>1.06</v>
      </c>
      <c r="H405" s="5">
        <f t="shared" si="91"/>
        <v>250.4</v>
      </c>
      <c r="I405" s="4"/>
      <c r="J405" s="4">
        <v>0.06</v>
      </c>
      <c r="K405" s="5">
        <f t="shared" si="92"/>
        <v>212.4</v>
      </c>
      <c r="L405" s="4">
        <v>38</v>
      </c>
      <c r="M405" s="7">
        <f t="shared" si="93"/>
        <v>1.0707344632768361</v>
      </c>
      <c r="N405" s="6"/>
    </row>
    <row r="406" spans="1:14" x14ac:dyDescent="0.25">
      <c r="A406" s="4">
        <v>3550</v>
      </c>
      <c r="B406" s="5">
        <f t="shared" si="86"/>
        <v>3801</v>
      </c>
      <c r="C406" s="5">
        <f t="shared" si="87"/>
        <v>1130.0000959524568</v>
      </c>
      <c r="D406" s="34">
        <f t="shared" si="88"/>
        <v>1142.0000959524568</v>
      </c>
      <c r="E406" s="34">
        <f t="shared" si="89"/>
        <v>3587.6991118430774</v>
      </c>
      <c r="F406" s="39">
        <f t="shared" si="90"/>
        <v>1793.8495559215387</v>
      </c>
      <c r="G406" s="46">
        <f t="shared" si="94"/>
        <v>1.06</v>
      </c>
      <c r="H406" s="5">
        <f t="shared" si="91"/>
        <v>251</v>
      </c>
      <c r="I406" s="4"/>
      <c r="J406" s="4">
        <v>0.06</v>
      </c>
      <c r="K406" s="5">
        <f t="shared" si="92"/>
        <v>213</v>
      </c>
      <c r="L406" s="4">
        <v>38</v>
      </c>
      <c r="M406" s="7">
        <f t="shared" si="93"/>
        <v>1.0707042253521126</v>
      </c>
      <c r="N406" s="6"/>
    </row>
    <row r="407" spans="1:14" x14ac:dyDescent="0.25">
      <c r="A407" s="4">
        <v>3560</v>
      </c>
      <c r="B407" s="5">
        <f t="shared" si="86"/>
        <v>3811.6</v>
      </c>
      <c r="C407" s="5">
        <f t="shared" si="87"/>
        <v>1133.1831948142949</v>
      </c>
      <c r="D407" s="34">
        <f t="shared" si="88"/>
        <v>1145.1831948142949</v>
      </c>
      <c r="E407" s="34">
        <f t="shared" si="89"/>
        <v>3597.6991118430778</v>
      </c>
      <c r="F407" s="39">
        <f t="shared" si="90"/>
        <v>1798.8495559215389</v>
      </c>
      <c r="G407" s="46">
        <f t="shared" si="94"/>
        <v>1.06</v>
      </c>
      <c r="H407" s="5">
        <f t="shared" si="91"/>
        <v>251.6</v>
      </c>
      <c r="I407" s="4"/>
      <c r="J407" s="4">
        <v>0.06</v>
      </c>
      <c r="K407" s="5">
        <f t="shared" si="92"/>
        <v>213.6</v>
      </c>
      <c r="L407" s="4">
        <v>38</v>
      </c>
      <c r="M407" s="7">
        <f t="shared" si="93"/>
        <v>1.0706741573033707</v>
      </c>
      <c r="N407" s="6"/>
    </row>
    <row r="408" spans="1:14" x14ac:dyDescent="0.25">
      <c r="A408" s="4">
        <v>3570</v>
      </c>
      <c r="B408" s="5">
        <f t="shared" si="86"/>
        <v>3822.2</v>
      </c>
      <c r="C408" s="5">
        <f t="shared" si="87"/>
        <v>1136.3662936761327</v>
      </c>
      <c r="D408" s="34">
        <f t="shared" si="88"/>
        <v>1148.3662936761327</v>
      </c>
      <c r="E408" s="34">
        <f t="shared" si="89"/>
        <v>3607.6991118430774</v>
      </c>
      <c r="F408" s="39">
        <f t="shared" si="90"/>
        <v>1803.8495559215387</v>
      </c>
      <c r="G408" s="46">
        <f t="shared" si="94"/>
        <v>1.06</v>
      </c>
      <c r="H408" s="5">
        <f t="shared" si="91"/>
        <v>252.2</v>
      </c>
      <c r="I408" s="4"/>
      <c r="J408" s="4">
        <v>0.06</v>
      </c>
      <c r="K408" s="5">
        <f t="shared" si="92"/>
        <v>214.2</v>
      </c>
      <c r="L408" s="4">
        <v>38</v>
      </c>
      <c r="M408" s="7">
        <f t="shared" si="93"/>
        <v>1.0706442577030812</v>
      </c>
      <c r="N408" s="6"/>
    </row>
    <row r="409" spans="1:14" x14ac:dyDescent="0.25">
      <c r="A409" s="4">
        <v>3580</v>
      </c>
      <c r="B409" s="5">
        <f t="shared" si="86"/>
        <v>3832.8</v>
      </c>
      <c r="C409" s="5">
        <f t="shared" si="87"/>
        <v>1139.5493925379706</v>
      </c>
      <c r="D409" s="34">
        <f t="shared" si="88"/>
        <v>1151.5493925379706</v>
      </c>
      <c r="E409" s="34">
        <f t="shared" si="89"/>
        <v>3617.6991118430774</v>
      </c>
      <c r="F409" s="39">
        <f t="shared" si="90"/>
        <v>1808.8495559215387</v>
      </c>
      <c r="G409" s="46">
        <f t="shared" si="94"/>
        <v>1.06</v>
      </c>
      <c r="H409" s="5">
        <f t="shared" si="91"/>
        <v>252.79999999999998</v>
      </c>
      <c r="I409" s="4"/>
      <c r="J409" s="4">
        <v>0.06</v>
      </c>
      <c r="K409" s="5">
        <f t="shared" si="92"/>
        <v>214.79999999999998</v>
      </c>
      <c r="L409" s="4">
        <v>38</v>
      </c>
      <c r="M409" s="7">
        <f t="shared" si="93"/>
        <v>1.0706145251396648</v>
      </c>
      <c r="N409" s="6"/>
    </row>
    <row r="410" spans="1:14" x14ac:dyDescent="0.25">
      <c r="A410" s="4">
        <v>3590</v>
      </c>
      <c r="B410" s="5">
        <f t="shared" si="86"/>
        <v>3843.4</v>
      </c>
      <c r="C410" s="5">
        <f t="shared" si="87"/>
        <v>1142.7324913998086</v>
      </c>
      <c r="D410" s="34">
        <f t="shared" si="88"/>
        <v>1154.7324913998086</v>
      </c>
      <c r="E410" s="34">
        <f t="shared" si="89"/>
        <v>3627.6991118430778</v>
      </c>
      <c r="F410" s="39">
        <f t="shared" si="90"/>
        <v>1813.8495559215389</v>
      </c>
      <c r="G410" s="46">
        <f t="shared" si="94"/>
        <v>1.06</v>
      </c>
      <c r="H410" s="5">
        <f t="shared" si="91"/>
        <v>253.4</v>
      </c>
      <c r="I410" s="4"/>
      <c r="J410" s="4">
        <v>0.06</v>
      </c>
      <c r="K410" s="5">
        <f t="shared" si="92"/>
        <v>215.4</v>
      </c>
      <c r="L410" s="4">
        <v>38</v>
      </c>
      <c r="M410" s="7">
        <f t="shared" si="93"/>
        <v>1.0705849582172702</v>
      </c>
      <c r="N410" s="6"/>
    </row>
    <row r="411" spans="1:14" x14ac:dyDescent="0.25">
      <c r="A411" s="4">
        <v>3600</v>
      </c>
      <c r="B411" s="5">
        <f t="shared" si="86"/>
        <v>3854</v>
      </c>
      <c r="C411" s="5">
        <f t="shared" si="87"/>
        <v>1145.9155902616465</v>
      </c>
      <c r="D411" s="34">
        <f t="shared" si="88"/>
        <v>1157.9155902616465</v>
      </c>
      <c r="E411" s="34">
        <f t="shared" si="89"/>
        <v>3637.6991118430774</v>
      </c>
      <c r="F411" s="39">
        <f t="shared" si="90"/>
        <v>1818.8495559215387</v>
      </c>
      <c r="G411" s="46">
        <f t="shared" si="94"/>
        <v>1.06</v>
      </c>
      <c r="H411" s="5">
        <f t="shared" si="91"/>
        <v>254</v>
      </c>
      <c r="I411" s="4"/>
      <c r="J411" s="4">
        <v>0.06</v>
      </c>
      <c r="K411" s="5">
        <f t="shared" si="92"/>
        <v>216</v>
      </c>
      <c r="L411" s="4">
        <v>38</v>
      </c>
      <c r="M411" s="7">
        <f t="shared" si="93"/>
        <v>1.0705555555555555</v>
      </c>
      <c r="N411" s="6"/>
    </row>
    <row r="412" spans="1:14" x14ac:dyDescent="0.25">
      <c r="A412" s="4">
        <v>3610</v>
      </c>
      <c r="B412" s="5">
        <f t="shared" si="86"/>
        <v>3864.6</v>
      </c>
      <c r="C412" s="5">
        <f t="shared" si="87"/>
        <v>1149.0986891234843</v>
      </c>
      <c r="D412" s="34">
        <f t="shared" si="88"/>
        <v>1161.0986891234843</v>
      </c>
      <c r="E412" s="34">
        <f t="shared" si="89"/>
        <v>3647.6991118430774</v>
      </c>
      <c r="F412" s="39">
        <f t="shared" si="90"/>
        <v>1823.8495559215387</v>
      </c>
      <c r="G412" s="46">
        <f t="shared" si="94"/>
        <v>1.06</v>
      </c>
      <c r="H412" s="5">
        <f t="shared" si="91"/>
        <v>254.6</v>
      </c>
      <c r="I412" s="4"/>
      <c r="J412" s="4">
        <v>0.06</v>
      </c>
      <c r="K412" s="5">
        <f t="shared" si="92"/>
        <v>216.6</v>
      </c>
      <c r="L412" s="4">
        <v>38</v>
      </c>
      <c r="M412" s="7">
        <f t="shared" si="93"/>
        <v>1.0705263157894735</v>
      </c>
      <c r="N412" s="6"/>
    </row>
    <row r="413" spans="1:14" x14ac:dyDescent="0.25">
      <c r="A413" s="4">
        <v>3620</v>
      </c>
      <c r="B413" s="5">
        <f t="shared" si="86"/>
        <v>3875.2</v>
      </c>
      <c r="C413" s="5">
        <f t="shared" si="87"/>
        <v>1152.2817879853224</v>
      </c>
      <c r="D413" s="34">
        <f t="shared" si="88"/>
        <v>1164.2817879853224</v>
      </c>
      <c r="E413" s="34">
        <f t="shared" si="89"/>
        <v>3657.6991118430778</v>
      </c>
      <c r="F413" s="39">
        <f t="shared" si="90"/>
        <v>1828.8495559215389</v>
      </c>
      <c r="G413" s="46">
        <f t="shared" si="94"/>
        <v>1.06</v>
      </c>
      <c r="H413" s="5">
        <f t="shared" si="91"/>
        <v>255.2</v>
      </c>
      <c r="I413" s="4"/>
      <c r="J413" s="4">
        <v>0.06</v>
      </c>
      <c r="K413" s="5">
        <f t="shared" si="92"/>
        <v>217.2</v>
      </c>
      <c r="L413" s="4">
        <v>38</v>
      </c>
      <c r="M413" s="7">
        <f t="shared" si="93"/>
        <v>1.0704972375690607</v>
      </c>
      <c r="N413" s="6"/>
    </row>
    <row r="414" spans="1:14" x14ac:dyDescent="0.25">
      <c r="A414" s="4">
        <v>3630</v>
      </c>
      <c r="B414" s="5">
        <f t="shared" si="86"/>
        <v>3885.8</v>
      </c>
      <c r="C414" s="5">
        <f t="shared" si="87"/>
        <v>1155.4648868471602</v>
      </c>
      <c r="D414" s="34">
        <f t="shared" si="88"/>
        <v>1167.4648868471602</v>
      </c>
      <c r="E414" s="34">
        <f t="shared" si="89"/>
        <v>3667.6991118430774</v>
      </c>
      <c r="F414" s="39">
        <f t="shared" si="90"/>
        <v>1833.8495559215387</v>
      </c>
      <c r="G414" s="46">
        <f t="shared" si="94"/>
        <v>1.06</v>
      </c>
      <c r="H414" s="5">
        <f t="shared" si="91"/>
        <v>255.79999999999998</v>
      </c>
      <c r="I414" s="4"/>
      <c r="J414" s="4">
        <v>0.06</v>
      </c>
      <c r="K414" s="5">
        <f t="shared" si="92"/>
        <v>217.79999999999998</v>
      </c>
      <c r="L414" s="4">
        <v>38</v>
      </c>
      <c r="M414" s="7">
        <f t="shared" si="93"/>
        <v>1.0704683195592286</v>
      </c>
      <c r="N414" s="6"/>
    </row>
    <row r="415" spans="1:14" x14ac:dyDescent="0.25">
      <c r="A415" s="4">
        <v>3640</v>
      </c>
      <c r="B415" s="5">
        <f t="shared" si="86"/>
        <v>3896.4</v>
      </c>
      <c r="C415" s="5">
        <f t="shared" si="87"/>
        <v>1158.647985708998</v>
      </c>
      <c r="D415" s="34">
        <f t="shared" si="88"/>
        <v>1170.647985708998</v>
      </c>
      <c r="E415" s="34">
        <f t="shared" si="89"/>
        <v>3677.6991118430774</v>
      </c>
      <c r="F415" s="39">
        <f t="shared" si="90"/>
        <v>1838.8495559215387</v>
      </c>
      <c r="G415" s="46">
        <f t="shared" si="94"/>
        <v>1.06</v>
      </c>
      <c r="H415" s="5">
        <f t="shared" si="91"/>
        <v>256.39999999999998</v>
      </c>
      <c r="I415" s="4"/>
      <c r="J415" s="4">
        <v>0.06</v>
      </c>
      <c r="K415" s="5">
        <f t="shared" si="92"/>
        <v>218.4</v>
      </c>
      <c r="L415" s="4">
        <v>38</v>
      </c>
      <c r="M415" s="7">
        <f t="shared" si="93"/>
        <v>1.0704395604395605</v>
      </c>
      <c r="N415" s="6"/>
    </row>
    <row r="416" spans="1:14" x14ac:dyDescent="0.25">
      <c r="A416" s="4">
        <v>3650</v>
      </c>
      <c r="B416" s="5">
        <f t="shared" si="86"/>
        <v>3907</v>
      </c>
      <c r="C416" s="5">
        <f t="shared" si="87"/>
        <v>1161.8310845708361</v>
      </c>
      <c r="D416" s="34">
        <f t="shared" si="88"/>
        <v>1173.8310845708361</v>
      </c>
      <c r="E416" s="34">
        <f t="shared" si="89"/>
        <v>3687.6991118430778</v>
      </c>
      <c r="F416" s="39">
        <f t="shared" si="90"/>
        <v>1843.8495559215389</v>
      </c>
      <c r="G416" s="46">
        <f t="shared" si="94"/>
        <v>1.06</v>
      </c>
      <c r="H416" s="5">
        <f t="shared" si="91"/>
        <v>257</v>
      </c>
      <c r="I416" s="4"/>
      <c r="J416" s="4">
        <v>0.06</v>
      </c>
      <c r="K416" s="5">
        <f t="shared" si="92"/>
        <v>219</v>
      </c>
      <c r="L416" s="4">
        <v>38</v>
      </c>
      <c r="M416" s="7">
        <f t="shared" si="93"/>
        <v>1.0704109589041095</v>
      </c>
      <c r="N416" s="6"/>
    </row>
    <row r="417" spans="1:14" x14ac:dyDescent="0.25">
      <c r="A417" s="4">
        <v>3660</v>
      </c>
      <c r="B417" s="5">
        <f t="shared" si="86"/>
        <v>3917.6</v>
      </c>
      <c r="C417" s="5">
        <f t="shared" si="87"/>
        <v>1165.0141834326739</v>
      </c>
      <c r="D417" s="34">
        <f t="shared" si="88"/>
        <v>1177.0141834326739</v>
      </c>
      <c r="E417" s="34">
        <f t="shared" si="89"/>
        <v>3697.6991118430774</v>
      </c>
      <c r="F417" s="39">
        <f t="shared" si="90"/>
        <v>1848.8495559215387</v>
      </c>
      <c r="G417" s="46">
        <f t="shared" si="94"/>
        <v>1.06</v>
      </c>
      <c r="H417" s="5">
        <f t="shared" si="91"/>
        <v>257.60000000000002</v>
      </c>
      <c r="I417" s="4"/>
      <c r="J417" s="4">
        <v>0.06</v>
      </c>
      <c r="K417" s="5">
        <f t="shared" si="92"/>
        <v>219.6</v>
      </c>
      <c r="L417" s="4">
        <v>38</v>
      </c>
      <c r="M417" s="7">
        <f t="shared" si="93"/>
        <v>1.0703825136612022</v>
      </c>
      <c r="N417" s="6"/>
    </row>
    <row r="418" spans="1:14" x14ac:dyDescent="0.25">
      <c r="A418" s="4">
        <v>3670</v>
      </c>
      <c r="B418" s="5">
        <f t="shared" si="86"/>
        <v>3928.2</v>
      </c>
      <c r="C418" s="5">
        <f t="shared" si="87"/>
        <v>1168.1972822945118</v>
      </c>
      <c r="D418" s="34">
        <f t="shared" si="88"/>
        <v>1180.1972822945118</v>
      </c>
      <c r="E418" s="34">
        <f t="shared" si="89"/>
        <v>3707.6991118430774</v>
      </c>
      <c r="F418" s="39">
        <f t="shared" si="90"/>
        <v>1853.8495559215387</v>
      </c>
      <c r="G418" s="46">
        <f t="shared" si="94"/>
        <v>1.06</v>
      </c>
      <c r="H418" s="5">
        <f t="shared" si="91"/>
        <v>258.2</v>
      </c>
      <c r="I418" s="4"/>
      <c r="J418" s="4">
        <v>0.06</v>
      </c>
      <c r="K418" s="5">
        <f t="shared" si="92"/>
        <v>220.2</v>
      </c>
      <c r="L418" s="4">
        <v>38</v>
      </c>
      <c r="M418" s="7">
        <f t="shared" si="93"/>
        <v>1.0703542234332424</v>
      </c>
      <c r="N418" s="6"/>
    </row>
    <row r="419" spans="1:14" x14ac:dyDescent="0.25">
      <c r="A419" s="4">
        <v>3680</v>
      </c>
      <c r="B419" s="5">
        <f t="shared" si="86"/>
        <v>3938.8</v>
      </c>
      <c r="C419" s="5">
        <f t="shared" si="87"/>
        <v>1171.3803811563498</v>
      </c>
      <c r="D419" s="34">
        <f t="shared" si="88"/>
        <v>1183.3803811563498</v>
      </c>
      <c r="E419" s="34">
        <f t="shared" si="89"/>
        <v>3717.6991118430778</v>
      </c>
      <c r="F419" s="39">
        <f t="shared" si="90"/>
        <v>1858.8495559215389</v>
      </c>
      <c r="G419" s="46">
        <f t="shared" si="94"/>
        <v>1.06</v>
      </c>
      <c r="H419" s="5">
        <f t="shared" si="91"/>
        <v>258.79999999999995</v>
      </c>
      <c r="I419" s="4"/>
      <c r="J419" s="4">
        <v>0.06</v>
      </c>
      <c r="K419" s="5">
        <f t="shared" si="92"/>
        <v>220.79999999999998</v>
      </c>
      <c r="L419" s="4">
        <v>38</v>
      </c>
      <c r="M419" s="7">
        <f t="shared" si="93"/>
        <v>1.0703260869565219</v>
      </c>
      <c r="N419" s="6"/>
    </row>
    <row r="420" spans="1:14" x14ac:dyDescent="0.25">
      <c r="A420" s="4">
        <v>3690</v>
      </c>
      <c r="B420" s="5">
        <f t="shared" si="86"/>
        <v>3949.4</v>
      </c>
      <c r="C420" s="5">
        <f t="shared" si="87"/>
        <v>1174.5634800181876</v>
      </c>
      <c r="D420" s="34">
        <f t="shared" si="88"/>
        <v>1186.5634800181876</v>
      </c>
      <c r="E420" s="34">
        <f t="shared" si="89"/>
        <v>3727.6991118430774</v>
      </c>
      <c r="F420" s="39">
        <f t="shared" si="90"/>
        <v>1863.8495559215387</v>
      </c>
      <c r="G420" s="46">
        <f t="shared" si="94"/>
        <v>1.06</v>
      </c>
      <c r="H420" s="5">
        <f t="shared" si="91"/>
        <v>259.39999999999998</v>
      </c>
      <c r="I420" s="4"/>
      <c r="J420" s="4">
        <v>0.06</v>
      </c>
      <c r="K420" s="5">
        <f t="shared" si="92"/>
        <v>221.4</v>
      </c>
      <c r="L420" s="4">
        <v>38</v>
      </c>
      <c r="M420" s="7">
        <f t="shared" si="93"/>
        <v>1.0702981029810299</v>
      </c>
      <c r="N420" s="6"/>
    </row>
    <row r="421" spans="1:14" x14ac:dyDescent="0.25">
      <c r="A421" s="4">
        <v>3700</v>
      </c>
      <c r="B421" s="5">
        <f t="shared" si="86"/>
        <v>3960</v>
      </c>
      <c r="C421" s="5">
        <f t="shared" si="87"/>
        <v>1177.7465788800255</v>
      </c>
      <c r="D421" s="34">
        <f t="shared" si="88"/>
        <v>1189.7465788800255</v>
      </c>
      <c r="E421" s="34">
        <f t="shared" si="89"/>
        <v>3737.6991118430774</v>
      </c>
      <c r="F421" s="39">
        <f t="shared" si="90"/>
        <v>1868.8495559215387</v>
      </c>
      <c r="G421" s="46">
        <f t="shared" si="94"/>
        <v>1.06</v>
      </c>
      <c r="H421" s="5">
        <f t="shared" si="91"/>
        <v>260</v>
      </c>
      <c r="I421" s="4"/>
      <c r="J421" s="4">
        <v>0.06</v>
      </c>
      <c r="K421" s="5">
        <f t="shared" si="92"/>
        <v>222</v>
      </c>
      <c r="L421" s="4">
        <v>38</v>
      </c>
      <c r="M421" s="7">
        <f t="shared" si="93"/>
        <v>1.0702702702702702</v>
      </c>
      <c r="N421" s="6"/>
    </row>
    <row r="422" spans="1:14" x14ac:dyDescent="0.25">
      <c r="A422" s="4">
        <v>3710</v>
      </c>
      <c r="B422" s="5">
        <f t="shared" si="86"/>
        <v>3970.6</v>
      </c>
      <c r="C422" s="5">
        <f t="shared" si="87"/>
        <v>1180.9296777418635</v>
      </c>
      <c r="D422" s="34">
        <f t="shared" si="88"/>
        <v>1192.9296777418635</v>
      </c>
      <c r="E422" s="34">
        <f t="shared" si="89"/>
        <v>3747.6991118430778</v>
      </c>
      <c r="F422" s="39">
        <f t="shared" si="90"/>
        <v>1873.8495559215389</v>
      </c>
      <c r="G422" s="46">
        <f t="shared" si="94"/>
        <v>1.06</v>
      </c>
      <c r="H422" s="5">
        <f t="shared" si="91"/>
        <v>260.60000000000002</v>
      </c>
      <c r="I422" s="4"/>
      <c r="J422" s="4">
        <v>0.06</v>
      </c>
      <c r="K422" s="5">
        <f t="shared" si="92"/>
        <v>222.6</v>
      </c>
      <c r="L422" s="4">
        <v>38</v>
      </c>
      <c r="M422" s="7">
        <f t="shared" si="93"/>
        <v>1.0702425876010782</v>
      </c>
      <c r="N422" s="6"/>
    </row>
    <row r="423" spans="1:14" x14ac:dyDescent="0.25">
      <c r="A423" s="4">
        <v>3720</v>
      </c>
      <c r="B423" s="5">
        <f t="shared" si="86"/>
        <v>3981.2</v>
      </c>
      <c r="C423" s="5">
        <f t="shared" si="87"/>
        <v>1184.1127766037014</v>
      </c>
      <c r="D423" s="34">
        <f t="shared" si="88"/>
        <v>1196.1127766037014</v>
      </c>
      <c r="E423" s="34">
        <f t="shared" si="89"/>
        <v>3757.6991118430778</v>
      </c>
      <c r="F423" s="39">
        <f t="shared" si="90"/>
        <v>1878.8495559215389</v>
      </c>
      <c r="G423" s="46">
        <f t="shared" si="94"/>
        <v>1.06</v>
      </c>
      <c r="H423" s="5">
        <f t="shared" si="91"/>
        <v>261.2</v>
      </c>
      <c r="I423" s="4"/>
      <c r="J423" s="4">
        <v>0.06</v>
      </c>
      <c r="K423" s="5">
        <f t="shared" si="92"/>
        <v>223.2</v>
      </c>
      <c r="L423" s="4">
        <v>38</v>
      </c>
      <c r="M423" s="7">
        <f t="shared" si="93"/>
        <v>1.0702150537634407</v>
      </c>
      <c r="N423" s="6"/>
    </row>
    <row r="424" spans="1:14" x14ac:dyDescent="0.25">
      <c r="A424" s="4">
        <v>3730</v>
      </c>
      <c r="B424" s="5">
        <f t="shared" si="86"/>
        <v>3991.8</v>
      </c>
      <c r="C424" s="5">
        <f t="shared" si="87"/>
        <v>1187.2958754655392</v>
      </c>
      <c r="D424" s="34">
        <f t="shared" si="88"/>
        <v>1199.2958754655392</v>
      </c>
      <c r="E424" s="34">
        <f t="shared" si="89"/>
        <v>3767.6991118430774</v>
      </c>
      <c r="F424" s="39">
        <f t="shared" si="90"/>
        <v>1883.8495559215387</v>
      </c>
      <c r="G424" s="46">
        <f t="shared" si="94"/>
        <v>1.06</v>
      </c>
      <c r="H424" s="5">
        <f t="shared" si="91"/>
        <v>261.79999999999995</v>
      </c>
      <c r="I424" s="4"/>
      <c r="J424" s="4">
        <v>0.06</v>
      </c>
      <c r="K424" s="5">
        <f t="shared" si="92"/>
        <v>223.79999999999998</v>
      </c>
      <c r="L424" s="4">
        <v>38</v>
      </c>
      <c r="M424" s="7">
        <f t="shared" si="93"/>
        <v>1.0701876675603217</v>
      </c>
      <c r="N424" s="6"/>
    </row>
    <row r="425" spans="1:14" x14ac:dyDescent="0.25">
      <c r="A425" s="4">
        <v>3740</v>
      </c>
      <c r="B425" s="5">
        <f t="shared" si="86"/>
        <v>4002.4</v>
      </c>
      <c r="C425" s="5">
        <f t="shared" si="87"/>
        <v>1190.478974327377</v>
      </c>
      <c r="D425" s="34">
        <f t="shared" si="88"/>
        <v>1202.478974327377</v>
      </c>
      <c r="E425" s="34">
        <f t="shared" si="89"/>
        <v>3777.6991118430774</v>
      </c>
      <c r="F425" s="39">
        <f t="shared" si="90"/>
        <v>1888.8495559215387</v>
      </c>
      <c r="G425" s="46">
        <f t="shared" si="94"/>
        <v>1.06</v>
      </c>
      <c r="H425" s="5">
        <f t="shared" si="91"/>
        <v>262.39999999999998</v>
      </c>
      <c r="I425" s="4"/>
      <c r="J425" s="4">
        <v>0.06</v>
      </c>
      <c r="K425" s="5">
        <f t="shared" si="92"/>
        <v>224.4</v>
      </c>
      <c r="L425" s="4">
        <v>38</v>
      </c>
      <c r="M425" s="7">
        <f t="shared" si="93"/>
        <v>1.0701604278074865</v>
      </c>
      <c r="N425" s="6"/>
    </row>
    <row r="426" spans="1:14" x14ac:dyDescent="0.25">
      <c r="A426" s="4">
        <v>3750</v>
      </c>
      <c r="B426" s="5">
        <f t="shared" si="86"/>
        <v>4013</v>
      </c>
      <c r="C426" s="5">
        <f t="shared" si="87"/>
        <v>1193.6620731892151</v>
      </c>
      <c r="D426" s="34">
        <f t="shared" si="88"/>
        <v>1205.6620731892151</v>
      </c>
      <c r="E426" s="34">
        <f t="shared" si="89"/>
        <v>3787.6991118430778</v>
      </c>
      <c r="F426" s="39">
        <f t="shared" si="90"/>
        <v>1893.8495559215389</v>
      </c>
      <c r="G426" s="46">
        <f t="shared" si="94"/>
        <v>1.06</v>
      </c>
      <c r="H426" s="5">
        <f t="shared" si="91"/>
        <v>263</v>
      </c>
      <c r="I426" s="4"/>
      <c r="J426" s="4">
        <v>0.06</v>
      </c>
      <c r="K426" s="5">
        <f t="shared" si="92"/>
        <v>225</v>
      </c>
      <c r="L426" s="4">
        <v>38</v>
      </c>
      <c r="M426" s="7">
        <f t="shared" si="93"/>
        <v>1.0701333333333334</v>
      </c>
      <c r="N426" s="6"/>
    </row>
    <row r="427" spans="1:14" x14ac:dyDescent="0.25">
      <c r="A427" s="4">
        <v>3760</v>
      </c>
      <c r="B427" s="5">
        <f t="shared" si="86"/>
        <v>4023.6</v>
      </c>
      <c r="C427" s="5">
        <f t="shared" si="87"/>
        <v>1196.8451720510529</v>
      </c>
      <c r="D427" s="34">
        <f t="shared" si="88"/>
        <v>1208.8451720510529</v>
      </c>
      <c r="E427" s="34">
        <f t="shared" si="89"/>
        <v>3797.6991118430774</v>
      </c>
      <c r="F427" s="39">
        <f t="shared" si="90"/>
        <v>1898.8495559215387</v>
      </c>
      <c r="G427" s="46">
        <f t="shared" si="94"/>
        <v>1.06</v>
      </c>
      <c r="H427" s="5">
        <f t="shared" si="91"/>
        <v>263.60000000000002</v>
      </c>
      <c r="I427" s="4"/>
      <c r="J427" s="4">
        <v>0.06</v>
      </c>
      <c r="K427" s="5">
        <f t="shared" si="92"/>
        <v>225.6</v>
      </c>
      <c r="L427" s="4">
        <v>38</v>
      </c>
      <c r="M427" s="7">
        <f t="shared" si="93"/>
        <v>1.0701063829787234</v>
      </c>
      <c r="N427" s="6"/>
    </row>
    <row r="428" spans="1:14" x14ac:dyDescent="0.25">
      <c r="A428" s="4">
        <v>3770</v>
      </c>
      <c r="B428" s="5">
        <f t="shared" si="86"/>
        <v>4034.2</v>
      </c>
      <c r="C428" s="5">
        <f t="shared" si="87"/>
        <v>1200.0282709128908</v>
      </c>
      <c r="D428" s="34">
        <f t="shared" si="88"/>
        <v>1212.0282709128908</v>
      </c>
      <c r="E428" s="34">
        <f t="shared" si="89"/>
        <v>3807.6991118430774</v>
      </c>
      <c r="F428" s="39">
        <f t="shared" si="90"/>
        <v>1903.8495559215387</v>
      </c>
      <c r="G428" s="46">
        <f t="shared" si="94"/>
        <v>1.06</v>
      </c>
      <c r="H428" s="5">
        <f t="shared" si="91"/>
        <v>264.2</v>
      </c>
      <c r="I428" s="4"/>
      <c r="J428" s="4">
        <v>0.06</v>
      </c>
      <c r="K428" s="5">
        <f t="shared" si="92"/>
        <v>226.2</v>
      </c>
      <c r="L428" s="4">
        <v>38</v>
      </c>
      <c r="M428" s="7">
        <f t="shared" si="93"/>
        <v>1.0700795755968169</v>
      </c>
      <c r="N428" s="6"/>
    </row>
    <row r="429" spans="1:14" x14ac:dyDescent="0.25">
      <c r="A429" s="4">
        <v>3780</v>
      </c>
      <c r="B429" s="5">
        <f t="shared" si="86"/>
        <v>4044.8</v>
      </c>
      <c r="C429" s="5">
        <f t="shared" si="87"/>
        <v>1203.2113697747288</v>
      </c>
      <c r="D429" s="34">
        <f t="shared" si="88"/>
        <v>1215.2113697747288</v>
      </c>
      <c r="E429" s="34">
        <f t="shared" si="89"/>
        <v>3817.6991118430778</v>
      </c>
      <c r="F429" s="39">
        <f t="shared" si="90"/>
        <v>1908.8495559215389</v>
      </c>
      <c r="G429" s="46">
        <f t="shared" si="94"/>
        <v>1.06</v>
      </c>
      <c r="H429" s="5">
        <f t="shared" si="91"/>
        <v>264.79999999999995</v>
      </c>
      <c r="I429" s="4"/>
      <c r="J429" s="4">
        <v>0.06</v>
      </c>
      <c r="K429" s="5">
        <f t="shared" si="92"/>
        <v>226.79999999999998</v>
      </c>
      <c r="L429" s="4">
        <v>38</v>
      </c>
      <c r="M429" s="7">
        <f t="shared" si="93"/>
        <v>1.0700529100529101</v>
      </c>
      <c r="N429" s="6"/>
    </row>
    <row r="430" spans="1:14" x14ac:dyDescent="0.25">
      <c r="A430" s="4">
        <v>3790</v>
      </c>
      <c r="B430" s="5">
        <f t="shared" ref="B430:B493" si="95">A430+K430+L430</f>
        <v>4055.4</v>
      </c>
      <c r="C430" s="5">
        <f t="shared" ref="C430:C493" si="96">A430/PI()</f>
        <v>1206.3944686365667</v>
      </c>
      <c r="D430" s="34">
        <f t="shared" ref="D430:D493" si="97">C430+12</f>
        <v>1218.3944686365667</v>
      </c>
      <c r="E430" s="34">
        <f t="shared" ref="E430:E493" si="98">D430*PI()</f>
        <v>3827.6991118430774</v>
      </c>
      <c r="F430" s="39">
        <f t="shared" ref="F430:F493" si="99">E430/2</f>
        <v>1913.8495559215387</v>
      </c>
      <c r="G430" s="46">
        <f t="shared" si="94"/>
        <v>1.06</v>
      </c>
      <c r="H430" s="5">
        <f t="shared" ref="H430:H493" si="100">K430+L430</f>
        <v>265.39999999999998</v>
      </c>
      <c r="I430" s="4"/>
      <c r="J430" s="4">
        <v>0.06</v>
      </c>
      <c r="K430" s="5">
        <f t="shared" ref="K430:K493" si="101">A430*J430</f>
        <v>227.4</v>
      </c>
      <c r="L430" s="4">
        <v>38</v>
      </c>
      <c r="M430" s="7">
        <f t="shared" ref="M430:M493" si="102">B430/A430</f>
        <v>1.0700263852242744</v>
      </c>
      <c r="N430" s="6"/>
    </row>
    <row r="431" spans="1:14" x14ac:dyDescent="0.25">
      <c r="A431" s="4">
        <v>3800</v>
      </c>
      <c r="B431" s="5">
        <f t="shared" si="95"/>
        <v>4066</v>
      </c>
      <c r="C431" s="5">
        <f t="shared" si="96"/>
        <v>1209.5775674984045</v>
      </c>
      <c r="D431" s="34">
        <f t="shared" si="97"/>
        <v>1221.5775674984045</v>
      </c>
      <c r="E431" s="34">
        <f t="shared" si="98"/>
        <v>3837.6991118430774</v>
      </c>
      <c r="F431" s="39">
        <f t="shared" si="99"/>
        <v>1918.8495559215387</v>
      </c>
      <c r="G431" s="46">
        <f t="shared" si="94"/>
        <v>1.06</v>
      </c>
      <c r="H431" s="5">
        <f t="shared" si="100"/>
        <v>266</v>
      </c>
      <c r="I431" s="4"/>
      <c r="J431" s="4">
        <v>0.06</v>
      </c>
      <c r="K431" s="5">
        <f t="shared" si="101"/>
        <v>228</v>
      </c>
      <c r="L431" s="4">
        <v>38</v>
      </c>
      <c r="M431" s="7">
        <f t="shared" si="102"/>
        <v>1.07</v>
      </c>
      <c r="N431" s="6"/>
    </row>
    <row r="432" spans="1:14" x14ac:dyDescent="0.25">
      <c r="A432" s="4">
        <v>3810</v>
      </c>
      <c r="B432" s="5">
        <f t="shared" si="95"/>
        <v>4076.6</v>
      </c>
      <c r="C432" s="5">
        <f t="shared" si="96"/>
        <v>1212.7606663602426</v>
      </c>
      <c r="D432" s="34">
        <f t="shared" si="97"/>
        <v>1224.7606663602426</v>
      </c>
      <c r="E432" s="34">
        <f t="shared" si="98"/>
        <v>3847.6991118430778</v>
      </c>
      <c r="F432" s="39">
        <f t="shared" si="99"/>
        <v>1923.8495559215389</v>
      </c>
      <c r="G432" s="46">
        <f t="shared" si="94"/>
        <v>1.06</v>
      </c>
      <c r="H432" s="5">
        <f t="shared" si="100"/>
        <v>266.60000000000002</v>
      </c>
      <c r="I432" s="4"/>
      <c r="J432" s="4">
        <v>0.06</v>
      </c>
      <c r="K432" s="5">
        <f t="shared" si="101"/>
        <v>228.6</v>
      </c>
      <c r="L432" s="4">
        <v>38</v>
      </c>
      <c r="M432" s="7">
        <f t="shared" si="102"/>
        <v>1.0699737532808398</v>
      </c>
      <c r="N432" s="6"/>
    </row>
    <row r="433" spans="1:14" x14ac:dyDescent="0.25">
      <c r="A433" s="4">
        <v>3820</v>
      </c>
      <c r="B433" s="5">
        <f t="shared" si="95"/>
        <v>4087.2</v>
      </c>
      <c r="C433" s="5">
        <f t="shared" si="96"/>
        <v>1215.9437652220804</v>
      </c>
      <c r="D433" s="34">
        <f t="shared" si="97"/>
        <v>1227.9437652220804</v>
      </c>
      <c r="E433" s="34">
        <f t="shared" si="98"/>
        <v>3857.6991118430774</v>
      </c>
      <c r="F433" s="39">
        <f t="shared" si="99"/>
        <v>1928.8495559215387</v>
      </c>
      <c r="G433" s="46">
        <f t="shared" si="94"/>
        <v>1.06</v>
      </c>
      <c r="H433" s="5">
        <f t="shared" si="100"/>
        <v>267.2</v>
      </c>
      <c r="I433" s="4"/>
      <c r="J433" s="4">
        <v>0.06</v>
      </c>
      <c r="K433" s="5">
        <f t="shared" si="101"/>
        <v>229.2</v>
      </c>
      <c r="L433" s="4">
        <v>38</v>
      </c>
      <c r="M433" s="7">
        <f t="shared" si="102"/>
        <v>1.0699476439790576</v>
      </c>
      <c r="N433" s="6"/>
    </row>
    <row r="434" spans="1:14" x14ac:dyDescent="0.25">
      <c r="A434" s="4">
        <v>3830</v>
      </c>
      <c r="B434" s="5">
        <f t="shared" si="95"/>
        <v>4097.8</v>
      </c>
      <c r="C434" s="5">
        <f t="shared" si="96"/>
        <v>1219.1268640839182</v>
      </c>
      <c r="D434" s="34">
        <f t="shared" si="97"/>
        <v>1231.1268640839182</v>
      </c>
      <c r="E434" s="34">
        <f t="shared" si="98"/>
        <v>3867.6991118430774</v>
      </c>
      <c r="F434" s="39">
        <f t="shared" si="99"/>
        <v>1933.8495559215387</v>
      </c>
      <c r="G434" s="46">
        <f t="shared" si="94"/>
        <v>1.06</v>
      </c>
      <c r="H434" s="5">
        <f t="shared" si="100"/>
        <v>267.79999999999995</v>
      </c>
      <c r="I434" s="4"/>
      <c r="J434" s="4">
        <v>0.06</v>
      </c>
      <c r="K434" s="5">
        <f t="shared" si="101"/>
        <v>229.79999999999998</v>
      </c>
      <c r="L434" s="4">
        <v>38</v>
      </c>
      <c r="M434" s="7">
        <f t="shared" si="102"/>
        <v>1.0699216710182768</v>
      </c>
      <c r="N434" s="6"/>
    </row>
    <row r="435" spans="1:14" x14ac:dyDescent="0.25">
      <c r="A435" s="4">
        <v>3840</v>
      </c>
      <c r="B435" s="5">
        <f t="shared" si="95"/>
        <v>4108.3999999999996</v>
      </c>
      <c r="C435" s="5">
        <f t="shared" si="96"/>
        <v>1222.3099629457563</v>
      </c>
      <c r="D435" s="34">
        <f t="shared" si="97"/>
        <v>1234.3099629457563</v>
      </c>
      <c r="E435" s="34">
        <f t="shared" si="98"/>
        <v>3877.6991118430778</v>
      </c>
      <c r="F435" s="39">
        <f t="shared" si="99"/>
        <v>1938.8495559215389</v>
      </c>
      <c r="G435" s="46">
        <f t="shared" si="94"/>
        <v>1.06</v>
      </c>
      <c r="H435" s="5">
        <f t="shared" si="100"/>
        <v>268.39999999999998</v>
      </c>
      <c r="I435" s="4"/>
      <c r="J435" s="4">
        <v>0.06</v>
      </c>
      <c r="K435" s="5">
        <f t="shared" si="101"/>
        <v>230.39999999999998</v>
      </c>
      <c r="L435" s="4">
        <v>38</v>
      </c>
      <c r="M435" s="7">
        <f t="shared" si="102"/>
        <v>1.0698958333333333</v>
      </c>
      <c r="N435" s="6"/>
    </row>
    <row r="436" spans="1:14" x14ac:dyDescent="0.25">
      <c r="A436" s="4">
        <v>3850</v>
      </c>
      <c r="B436" s="5">
        <f t="shared" si="95"/>
        <v>4119</v>
      </c>
      <c r="C436" s="5">
        <f t="shared" si="96"/>
        <v>1225.4930618075941</v>
      </c>
      <c r="D436" s="34">
        <f t="shared" si="97"/>
        <v>1237.4930618075941</v>
      </c>
      <c r="E436" s="34">
        <f t="shared" si="98"/>
        <v>3887.6991118430774</v>
      </c>
      <c r="F436" s="39">
        <f t="shared" si="99"/>
        <v>1943.8495559215387</v>
      </c>
      <c r="G436" s="46">
        <f t="shared" si="94"/>
        <v>1.06</v>
      </c>
      <c r="H436" s="5">
        <f t="shared" si="100"/>
        <v>269</v>
      </c>
      <c r="I436" s="4"/>
      <c r="J436" s="4">
        <v>0.06</v>
      </c>
      <c r="K436" s="5">
        <f t="shared" si="101"/>
        <v>231</v>
      </c>
      <c r="L436" s="4">
        <v>38</v>
      </c>
      <c r="M436" s="7">
        <f t="shared" si="102"/>
        <v>1.0698701298701299</v>
      </c>
      <c r="N436" s="6"/>
    </row>
    <row r="437" spans="1:14" x14ac:dyDescent="0.25">
      <c r="A437" s="4">
        <v>3860</v>
      </c>
      <c r="B437" s="5">
        <f t="shared" si="95"/>
        <v>4129.6000000000004</v>
      </c>
      <c r="C437" s="5">
        <f t="shared" si="96"/>
        <v>1228.676160669432</v>
      </c>
      <c r="D437" s="34">
        <f t="shared" si="97"/>
        <v>1240.676160669432</v>
      </c>
      <c r="E437" s="34">
        <f t="shared" si="98"/>
        <v>3897.6991118430774</v>
      </c>
      <c r="F437" s="39">
        <f t="shared" si="99"/>
        <v>1948.8495559215387</v>
      </c>
      <c r="G437" s="46">
        <f t="shared" si="94"/>
        <v>1.06</v>
      </c>
      <c r="H437" s="5">
        <f t="shared" si="100"/>
        <v>269.60000000000002</v>
      </c>
      <c r="I437" s="4"/>
      <c r="J437" s="4">
        <v>0.06</v>
      </c>
      <c r="K437" s="5">
        <f t="shared" si="101"/>
        <v>231.6</v>
      </c>
      <c r="L437" s="4">
        <v>38</v>
      </c>
      <c r="M437" s="7">
        <f t="shared" si="102"/>
        <v>1.0698445595854924</v>
      </c>
      <c r="N437" s="6"/>
    </row>
    <row r="438" spans="1:14" x14ac:dyDescent="0.25">
      <c r="A438" s="4">
        <v>3870</v>
      </c>
      <c r="B438" s="5">
        <f t="shared" si="95"/>
        <v>4140.2</v>
      </c>
      <c r="C438" s="5">
        <f t="shared" si="96"/>
        <v>1231.85925953127</v>
      </c>
      <c r="D438" s="34">
        <f t="shared" si="97"/>
        <v>1243.85925953127</v>
      </c>
      <c r="E438" s="34">
        <f t="shared" si="98"/>
        <v>3907.6991118430778</v>
      </c>
      <c r="F438" s="39">
        <f t="shared" si="99"/>
        <v>1953.8495559215389</v>
      </c>
      <c r="G438" s="46">
        <f t="shared" si="94"/>
        <v>1.06</v>
      </c>
      <c r="H438" s="5">
        <f t="shared" si="100"/>
        <v>270.2</v>
      </c>
      <c r="I438" s="4"/>
      <c r="J438" s="4">
        <v>0.06</v>
      </c>
      <c r="K438" s="5">
        <f t="shared" si="101"/>
        <v>232.2</v>
      </c>
      <c r="L438" s="4">
        <v>38</v>
      </c>
      <c r="M438" s="7">
        <f t="shared" si="102"/>
        <v>1.0698191214470283</v>
      </c>
      <c r="N438" s="6"/>
    </row>
    <row r="439" spans="1:14" x14ac:dyDescent="0.25">
      <c r="A439" s="4">
        <v>3880</v>
      </c>
      <c r="B439" s="5">
        <f t="shared" si="95"/>
        <v>4150.8</v>
      </c>
      <c r="C439" s="5">
        <f t="shared" si="96"/>
        <v>1235.0423583931079</v>
      </c>
      <c r="D439" s="34">
        <f t="shared" si="97"/>
        <v>1247.0423583931079</v>
      </c>
      <c r="E439" s="34">
        <f t="shared" si="98"/>
        <v>3917.6991118430774</v>
      </c>
      <c r="F439" s="39">
        <f t="shared" si="99"/>
        <v>1958.8495559215387</v>
      </c>
      <c r="G439" s="46">
        <f t="shared" si="94"/>
        <v>1.06</v>
      </c>
      <c r="H439" s="5">
        <f t="shared" si="100"/>
        <v>270.79999999999995</v>
      </c>
      <c r="I439" s="4"/>
      <c r="J439" s="4">
        <v>0.06</v>
      </c>
      <c r="K439" s="5">
        <f t="shared" si="101"/>
        <v>232.79999999999998</v>
      </c>
      <c r="L439" s="4">
        <v>38</v>
      </c>
      <c r="M439" s="7">
        <f t="shared" si="102"/>
        <v>1.0697938144329897</v>
      </c>
      <c r="N439" s="6"/>
    </row>
    <row r="440" spans="1:14" x14ac:dyDescent="0.25">
      <c r="A440" s="4">
        <v>3890</v>
      </c>
      <c r="B440" s="5">
        <f t="shared" si="95"/>
        <v>4161.3999999999996</v>
      </c>
      <c r="C440" s="5">
        <f t="shared" si="96"/>
        <v>1238.2254572549457</v>
      </c>
      <c r="D440" s="34">
        <f t="shared" si="97"/>
        <v>1250.2254572549457</v>
      </c>
      <c r="E440" s="34">
        <f t="shared" si="98"/>
        <v>3927.6991118430774</v>
      </c>
      <c r="F440" s="39">
        <f t="shared" si="99"/>
        <v>1963.8495559215387</v>
      </c>
      <c r="G440" s="46">
        <f t="shared" si="94"/>
        <v>1.06</v>
      </c>
      <c r="H440" s="5">
        <f t="shared" si="100"/>
        <v>271.39999999999998</v>
      </c>
      <c r="I440" s="4"/>
      <c r="J440" s="4">
        <v>0.06</v>
      </c>
      <c r="K440" s="5">
        <f t="shared" si="101"/>
        <v>233.39999999999998</v>
      </c>
      <c r="L440" s="4">
        <v>38</v>
      </c>
      <c r="M440" s="7">
        <f t="shared" si="102"/>
        <v>1.0697686375321336</v>
      </c>
      <c r="N440" s="6"/>
    </row>
    <row r="441" spans="1:14" x14ac:dyDescent="0.25">
      <c r="A441" s="4">
        <v>3900</v>
      </c>
      <c r="B441" s="5">
        <f t="shared" si="95"/>
        <v>4172</v>
      </c>
      <c r="C441" s="5">
        <f t="shared" si="96"/>
        <v>1241.4085561167838</v>
      </c>
      <c r="D441" s="34">
        <f t="shared" si="97"/>
        <v>1253.4085561167838</v>
      </c>
      <c r="E441" s="34">
        <f t="shared" si="98"/>
        <v>3937.6991118430778</v>
      </c>
      <c r="F441" s="39">
        <f t="shared" si="99"/>
        <v>1968.8495559215389</v>
      </c>
      <c r="G441" s="46">
        <f t="shared" si="94"/>
        <v>1.06</v>
      </c>
      <c r="H441" s="5">
        <f t="shared" si="100"/>
        <v>272</v>
      </c>
      <c r="I441" s="4"/>
      <c r="J441" s="4">
        <v>0.06</v>
      </c>
      <c r="K441" s="5">
        <f t="shared" si="101"/>
        <v>234</v>
      </c>
      <c r="L441" s="4">
        <v>38</v>
      </c>
      <c r="M441" s="7">
        <f t="shared" si="102"/>
        <v>1.0697435897435899</v>
      </c>
      <c r="N441" s="6"/>
    </row>
    <row r="442" spans="1:14" x14ac:dyDescent="0.25">
      <c r="A442" s="4">
        <v>3910</v>
      </c>
      <c r="B442" s="5">
        <f t="shared" si="95"/>
        <v>4182.6000000000004</v>
      </c>
      <c r="C442" s="5">
        <f t="shared" si="96"/>
        <v>1244.5916549786216</v>
      </c>
      <c r="D442" s="34">
        <f t="shared" si="97"/>
        <v>1256.5916549786216</v>
      </c>
      <c r="E442" s="34">
        <f t="shared" si="98"/>
        <v>3947.6991118430774</v>
      </c>
      <c r="F442" s="39">
        <f t="shared" si="99"/>
        <v>1973.8495559215387</v>
      </c>
      <c r="G442" s="46">
        <f t="shared" si="94"/>
        <v>1.06</v>
      </c>
      <c r="H442" s="5">
        <f t="shared" si="100"/>
        <v>272.60000000000002</v>
      </c>
      <c r="I442" s="4"/>
      <c r="J442" s="4">
        <v>0.06</v>
      </c>
      <c r="K442" s="5">
        <f t="shared" si="101"/>
        <v>234.6</v>
      </c>
      <c r="L442" s="4">
        <v>38</v>
      </c>
      <c r="M442" s="7">
        <f t="shared" si="102"/>
        <v>1.0697186700767265</v>
      </c>
      <c r="N442" s="6"/>
    </row>
    <row r="443" spans="1:14" x14ac:dyDescent="0.25">
      <c r="A443" s="4">
        <v>3920</v>
      </c>
      <c r="B443" s="5">
        <f t="shared" si="95"/>
        <v>4193.2</v>
      </c>
      <c r="C443" s="5">
        <f t="shared" si="96"/>
        <v>1247.7747538404594</v>
      </c>
      <c r="D443" s="34">
        <f t="shared" si="97"/>
        <v>1259.7747538404594</v>
      </c>
      <c r="E443" s="34">
        <f t="shared" si="98"/>
        <v>3957.6991118430774</v>
      </c>
      <c r="F443" s="39">
        <f t="shared" si="99"/>
        <v>1978.8495559215387</v>
      </c>
      <c r="G443" s="46">
        <f t="shared" si="94"/>
        <v>1.06</v>
      </c>
      <c r="H443" s="5">
        <f t="shared" si="100"/>
        <v>273.2</v>
      </c>
      <c r="I443" s="4"/>
      <c r="J443" s="4">
        <v>0.06</v>
      </c>
      <c r="K443" s="5">
        <f t="shared" si="101"/>
        <v>235.2</v>
      </c>
      <c r="L443" s="4">
        <v>38</v>
      </c>
      <c r="M443" s="7">
        <f t="shared" si="102"/>
        <v>1.0696938775510203</v>
      </c>
      <c r="N443" s="6"/>
    </row>
    <row r="444" spans="1:14" x14ac:dyDescent="0.25">
      <c r="A444" s="4">
        <v>3930</v>
      </c>
      <c r="B444" s="5">
        <f t="shared" si="95"/>
        <v>4203.8</v>
      </c>
      <c r="C444" s="5">
        <f t="shared" si="96"/>
        <v>1250.9578527022975</v>
      </c>
      <c r="D444" s="34">
        <f t="shared" si="97"/>
        <v>1262.9578527022975</v>
      </c>
      <c r="E444" s="34">
        <f t="shared" si="98"/>
        <v>3967.6991118430778</v>
      </c>
      <c r="F444" s="39">
        <f t="shared" si="99"/>
        <v>1983.8495559215389</v>
      </c>
      <c r="G444" s="46">
        <f t="shared" si="94"/>
        <v>1.06</v>
      </c>
      <c r="H444" s="5">
        <f t="shared" si="100"/>
        <v>273.79999999999995</v>
      </c>
      <c r="I444" s="4"/>
      <c r="J444" s="4">
        <v>0.06</v>
      </c>
      <c r="K444" s="5">
        <f t="shared" si="101"/>
        <v>235.79999999999998</v>
      </c>
      <c r="L444" s="4">
        <v>38</v>
      </c>
      <c r="M444" s="7">
        <f t="shared" si="102"/>
        <v>1.0696692111959287</v>
      </c>
      <c r="N444" s="6"/>
    </row>
    <row r="445" spans="1:14" x14ac:dyDescent="0.25">
      <c r="A445" s="4">
        <v>3940</v>
      </c>
      <c r="B445" s="5">
        <f t="shared" si="95"/>
        <v>4214.3999999999996</v>
      </c>
      <c r="C445" s="5">
        <f t="shared" si="96"/>
        <v>1254.1409515641353</v>
      </c>
      <c r="D445" s="34">
        <f t="shared" si="97"/>
        <v>1266.1409515641353</v>
      </c>
      <c r="E445" s="34">
        <f t="shared" si="98"/>
        <v>3977.6991118430774</v>
      </c>
      <c r="F445" s="39">
        <f t="shared" si="99"/>
        <v>1988.8495559215387</v>
      </c>
      <c r="G445" s="46">
        <f t="shared" si="94"/>
        <v>1.06</v>
      </c>
      <c r="H445" s="5">
        <f t="shared" si="100"/>
        <v>274.39999999999998</v>
      </c>
      <c r="I445" s="4"/>
      <c r="J445" s="4">
        <v>0.06</v>
      </c>
      <c r="K445" s="5">
        <f t="shared" si="101"/>
        <v>236.39999999999998</v>
      </c>
      <c r="L445" s="4">
        <v>38</v>
      </c>
      <c r="M445" s="7">
        <f t="shared" si="102"/>
        <v>1.0696446700507614</v>
      </c>
      <c r="N445" s="6"/>
    </row>
    <row r="446" spans="1:14" x14ac:dyDescent="0.25">
      <c r="A446" s="4">
        <v>3950</v>
      </c>
      <c r="B446" s="5">
        <f t="shared" si="95"/>
        <v>4225</v>
      </c>
      <c r="C446" s="5">
        <f t="shared" si="96"/>
        <v>1257.3240504259732</v>
      </c>
      <c r="D446" s="34">
        <f t="shared" si="97"/>
        <v>1269.3240504259732</v>
      </c>
      <c r="E446" s="34">
        <f t="shared" si="98"/>
        <v>3987.6991118430774</v>
      </c>
      <c r="F446" s="39">
        <f t="shared" si="99"/>
        <v>1993.8495559215387</v>
      </c>
      <c r="G446" s="46">
        <f t="shared" si="94"/>
        <v>1.06</v>
      </c>
      <c r="H446" s="5">
        <f t="shared" si="100"/>
        <v>275</v>
      </c>
      <c r="I446" s="4"/>
      <c r="J446" s="4">
        <v>0.06</v>
      </c>
      <c r="K446" s="5">
        <f t="shared" si="101"/>
        <v>237</v>
      </c>
      <c r="L446" s="4">
        <v>38</v>
      </c>
      <c r="M446" s="7">
        <f t="shared" si="102"/>
        <v>1.0696202531645569</v>
      </c>
      <c r="N446" s="6"/>
    </row>
    <row r="447" spans="1:14" x14ac:dyDescent="0.25">
      <c r="A447" s="4">
        <v>3960</v>
      </c>
      <c r="B447" s="5">
        <f t="shared" si="95"/>
        <v>4235.6000000000004</v>
      </c>
      <c r="C447" s="5">
        <f t="shared" si="96"/>
        <v>1260.5071492878112</v>
      </c>
      <c r="D447" s="34">
        <f t="shared" si="97"/>
        <v>1272.5071492878112</v>
      </c>
      <c r="E447" s="34">
        <f t="shared" si="98"/>
        <v>3997.6991118430778</v>
      </c>
      <c r="F447" s="39">
        <f t="shared" si="99"/>
        <v>1998.8495559215389</v>
      </c>
      <c r="G447" s="46">
        <f t="shared" si="94"/>
        <v>1.06</v>
      </c>
      <c r="H447" s="5">
        <f t="shared" si="100"/>
        <v>275.60000000000002</v>
      </c>
      <c r="I447" s="4"/>
      <c r="J447" s="4">
        <v>0.06</v>
      </c>
      <c r="K447" s="5">
        <f t="shared" si="101"/>
        <v>237.6</v>
      </c>
      <c r="L447" s="4">
        <v>38</v>
      </c>
      <c r="M447" s="7">
        <f t="shared" si="102"/>
        <v>1.0695959595959597</v>
      </c>
      <c r="N447" s="6"/>
    </row>
    <row r="448" spans="1:14" x14ac:dyDescent="0.25">
      <c r="A448" s="4">
        <v>3970</v>
      </c>
      <c r="B448" s="5">
        <f t="shared" si="95"/>
        <v>4246.2</v>
      </c>
      <c r="C448" s="5">
        <f t="shared" si="96"/>
        <v>1263.6902481496491</v>
      </c>
      <c r="D448" s="34">
        <f t="shared" si="97"/>
        <v>1275.6902481496491</v>
      </c>
      <c r="E448" s="34">
        <f t="shared" si="98"/>
        <v>4007.6991118430778</v>
      </c>
      <c r="F448" s="39">
        <f t="shared" si="99"/>
        <v>2003.8495559215389</v>
      </c>
      <c r="G448" s="46">
        <f t="shared" si="94"/>
        <v>1.06</v>
      </c>
      <c r="H448" s="5">
        <f t="shared" si="100"/>
        <v>276.2</v>
      </c>
      <c r="I448" s="4"/>
      <c r="J448" s="4">
        <v>0.06</v>
      </c>
      <c r="K448" s="5">
        <f t="shared" si="101"/>
        <v>238.2</v>
      </c>
      <c r="L448" s="4">
        <v>38</v>
      </c>
      <c r="M448" s="7">
        <f t="shared" si="102"/>
        <v>1.0695717884130982</v>
      </c>
      <c r="N448" s="6"/>
    </row>
    <row r="449" spans="1:14" x14ac:dyDescent="0.25">
      <c r="A449" s="4">
        <v>3980</v>
      </c>
      <c r="B449" s="5">
        <f t="shared" si="95"/>
        <v>4256.8</v>
      </c>
      <c r="C449" s="5">
        <f t="shared" si="96"/>
        <v>1266.8733470114869</v>
      </c>
      <c r="D449" s="34">
        <f t="shared" si="97"/>
        <v>1278.8733470114869</v>
      </c>
      <c r="E449" s="34">
        <f t="shared" si="98"/>
        <v>4017.6991118430774</v>
      </c>
      <c r="F449" s="39">
        <f t="shared" si="99"/>
        <v>2008.8495559215387</v>
      </c>
      <c r="G449" s="46">
        <f t="shared" si="94"/>
        <v>1.06</v>
      </c>
      <c r="H449" s="5">
        <f t="shared" si="100"/>
        <v>276.79999999999995</v>
      </c>
      <c r="I449" s="4"/>
      <c r="J449" s="4">
        <v>0.06</v>
      </c>
      <c r="K449" s="5">
        <f t="shared" si="101"/>
        <v>238.79999999999998</v>
      </c>
      <c r="L449" s="4">
        <v>38</v>
      </c>
      <c r="M449" s="7">
        <f t="shared" si="102"/>
        <v>1.0695477386934673</v>
      </c>
      <c r="N449" s="6"/>
    </row>
    <row r="450" spans="1:14" x14ac:dyDescent="0.25">
      <c r="A450" s="4">
        <v>3990</v>
      </c>
      <c r="B450" s="5">
        <f t="shared" si="95"/>
        <v>4267.3999999999996</v>
      </c>
      <c r="C450" s="5">
        <f t="shared" si="96"/>
        <v>1270.0564458733247</v>
      </c>
      <c r="D450" s="34">
        <f t="shared" si="97"/>
        <v>1282.0564458733247</v>
      </c>
      <c r="E450" s="34">
        <f t="shared" si="98"/>
        <v>4027.6991118430774</v>
      </c>
      <c r="F450" s="39">
        <f t="shared" si="99"/>
        <v>2013.8495559215387</v>
      </c>
      <c r="G450" s="46">
        <f t="shared" si="94"/>
        <v>1.06</v>
      </c>
      <c r="H450" s="5">
        <f t="shared" si="100"/>
        <v>277.39999999999998</v>
      </c>
      <c r="I450" s="4"/>
      <c r="J450" s="4">
        <v>0.06</v>
      </c>
      <c r="K450" s="5">
        <f t="shared" si="101"/>
        <v>239.39999999999998</v>
      </c>
      <c r="L450" s="4">
        <v>38</v>
      </c>
      <c r="M450" s="7">
        <f t="shared" si="102"/>
        <v>1.0695238095238095</v>
      </c>
      <c r="N450" s="6"/>
    </row>
    <row r="451" spans="1:14" x14ac:dyDescent="0.25">
      <c r="A451" s="4">
        <v>4000</v>
      </c>
      <c r="B451" s="5">
        <f t="shared" si="95"/>
        <v>4278</v>
      </c>
      <c r="C451" s="5">
        <f t="shared" si="96"/>
        <v>1273.2395447351628</v>
      </c>
      <c r="D451" s="34">
        <f t="shared" si="97"/>
        <v>1285.2395447351628</v>
      </c>
      <c r="E451" s="34">
        <f t="shared" si="98"/>
        <v>4037.6991118430778</v>
      </c>
      <c r="F451" s="39">
        <f t="shared" si="99"/>
        <v>2018.8495559215389</v>
      </c>
      <c r="G451" s="46">
        <f t="shared" si="94"/>
        <v>1.06</v>
      </c>
      <c r="H451" s="5">
        <f t="shared" si="100"/>
        <v>278</v>
      </c>
      <c r="I451" s="4"/>
      <c r="J451" s="4">
        <v>0.06</v>
      </c>
      <c r="K451" s="5">
        <f t="shared" si="101"/>
        <v>240</v>
      </c>
      <c r="L451" s="4">
        <v>38</v>
      </c>
      <c r="M451" s="7">
        <f t="shared" si="102"/>
        <v>1.0694999999999999</v>
      </c>
      <c r="N451" s="6"/>
    </row>
    <row r="452" spans="1:14" x14ac:dyDescent="0.25">
      <c r="A452" s="4">
        <v>4010</v>
      </c>
      <c r="B452" s="5">
        <f t="shared" si="95"/>
        <v>4288.6000000000004</v>
      </c>
      <c r="C452" s="5">
        <f t="shared" si="96"/>
        <v>1276.4226435970006</v>
      </c>
      <c r="D452" s="34">
        <f t="shared" si="97"/>
        <v>1288.4226435970006</v>
      </c>
      <c r="E452" s="34">
        <f t="shared" si="98"/>
        <v>4047.6991118430774</v>
      </c>
      <c r="F452" s="39">
        <f t="shared" si="99"/>
        <v>2023.8495559215387</v>
      </c>
      <c r="G452" s="46">
        <f t="shared" si="94"/>
        <v>1.06</v>
      </c>
      <c r="H452" s="5">
        <f t="shared" si="100"/>
        <v>278.60000000000002</v>
      </c>
      <c r="I452" s="4"/>
      <c r="J452" s="4">
        <v>0.06</v>
      </c>
      <c r="K452" s="5">
        <f t="shared" si="101"/>
        <v>240.6</v>
      </c>
      <c r="L452" s="4">
        <v>38</v>
      </c>
      <c r="M452" s="7">
        <f t="shared" si="102"/>
        <v>1.0694763092269328</v>
      </c>
      <c r="N452" s="6"/>
    </row>
    <row r="453" spans="1:14" x14ac:dyDescent="0.25">
      <c r="A453" s="4">
        <v>4020</v>
      </c>
      <c r="B453" s="5">
        <f t="shared" si="95"/>
        <v>4299.2</v>
      </c>
      <c r="C453" s="5">
        <f t="shared" si="96"/>
        <v>1279.6057424588384</v>
      </c>
      <c r="D453" s="34">
        <f t="shared" si="97"/>
        <v>1291.6057424588384</v>
      </c>
      <c r="E453" s="34">
        <f t="shared" si="98"/>
        <v>4057.6991118430774</v>
      </c>
      <c r="F453" s="39">
        <f t="shared" si="99"/>
        <v>2028.8495559215387</v>
      </c>
      <c r="G453" s="46">
        <f t="shared" si="94"/>
        <v>1.06</v>
      </c>
      <c r="H453" s="5">
        <f t="shared" si="100"/>
        <v>279.2</v>
      </c>
      <c r="I453" s="4"/>
      <c r="J453" s="4">
        <v>0.06</v>
      </c>
      <c r="K453" s="5">
        <f t="shared" si="101"/>
        <v>241.2</v>
      </c>
      <c r="L453" s="4">
        <v>38</v>
      </c>
      <c r="M453" s="7">
        <f t="shared" si="102"/>
        <v>1.0694527363184079</v>
      </c>
      <c r="N453" s="6"/>
    </row>
    <row r="454" spans="1:14" x14ac:dyDescent="0.25">
      <c r="A454" s="4">
        <v>4030</v>
      </c>
      <c r="B454" s="5">
        <f t="shared" si="95"/>
        <v>4309.8</v>
      </c>
      <c r="C454" s="5">
        <f t="shared" si="96"/>
        <v>1282.7888413206765</v>
      </c>
      <c r="D454" s="34">
        <f t="shared" si="97"/>
        <v>1294.7888413206765</v>
      </c>
      <c r="E454" s="34">
        <f t="shared" si="98"/>
        <v>4067.6991118430778</v>
      </c>
      <c r="F454" s="39">
        <f t="shared" si="99"/>
        <v>2033.8495559215389</v>
      </c>
      <c r="G454" s="46">
        <f t="shared" ref="G454:G517" si="103">ROUNDUP(B454/E454,2)</f>
        <v>1.06</v>
      </c>
      <c r="H454" s="5">
        <f t="shared" si="100"/>
        <v>279.79999999999995</v>
      </c>
      <c r="I454" s="4"/>
      <c r="J454" s="4">
        <v>0.06</v>
      </c>
      <c r="K454" s="5">
        <f t="shared" si="101"/>
        <v>241.79999999999998</v>
      </c>
      <c r="L454" s="4">
        <v>38</v>
      </c>
      <c r="M454" s="7">
        <f t="shared" si="102"/>
        <v>1.0694292803970225</v>
      </c>
      <c r="N454" s="6"/>
    </row>
    <row r="455" spans="1:14" x14ac:dyDescent="0.25">
      <c r="A455" s="4">
        <v>4040</v>
      </c>
      <c r="B455" s="5">
        <f t="shared" si="95"/>
        <v>4320.3999999999996</v>
      </c>
      <c r="C455" s="5">
        <f t="shared" si="96"/>
        <v>1285.9719401825143</v>
      </c>
      <c r="D455" s="34">
        <f t="shared" si="97"/>
        <v>1297.9719401825143</v>
      </c>
      <c r="E455" s="34">
        <f t="shared" si="98"/>
        <v>4077.6991118430774</v>
      </c>
      <c r="F455" s="39">
        <f t="shared" si="99"/>
        <v>2038.8495559215387</v>
      </c>
      <c r="G455" s="46">
        <f t="shared" si="103"/>
        <v>1.06</v>
      </c>
      <c r="H455" s="5">
        <f t="shared" si="100"/>
        <v>280.39999999999998</v>
      </c>
      <c r="I455" s="4"/>
      <c r="J455" s="4">
        <v>0.06</v>
      </c>
      <c r="K455" s="5">
        <f t="shared" si="101"/>
        <v>242.39999999999998</v>
      </c>
      <c r="L455" s="4">
        <v>38</v>
      </c>
      <c r="M455" s="7">
        <f t="shared" si="102"/>
        <v>1.0694059405940592</v>
      </c>
      <c r="N455" s="6"/>
    </row>
    <row r="456" spans="1:14" x14ac:dyDescent="0.25">
      <c r="A456" s="4">
        <v>4050</v>
      </c>
      <c r="B456" s="5">
        <f t="shared" si="95"/>
        <v>4331</v>
      </c>
      <c r="C456" s="5">
        <f t="shared" si="96"/>
        <v>1289.1550390443522</v>
      </c>
      <c r="D456" s="34">
        <f t="shared" si="97"/>
        <v>1301.1550390443522</v>
      </c>
      <c r="E456" s="34">
        <f t="shared" si="98"/>
        <v>4087.6991118430774</v>
      </c>
      <c r="F456" s="39">
        <f t="shared" si="99"/>
        <v>2043.8495559215387</v>
      </c>
      <c r="G456" s="46">
        <f t="shared" si="103"/>
        <v>1.06</v>
      </c>
      <c r="H456" s="5">
        <f t="shared" si="100"/>
        <v>281</v>
      </c>
      <c r="I456" s="4"/>
      <c r="J456" s="4">
        <v>0.06</v>
      </c>
      <c r="K456" s="5">
        <f t="shared" si="101"/>
        <v>243</v>
      </c>
      <c r="L456" s="4">
        <v>38</v>
      </c>
      <c r="M456" s="7">
        <f t="shared" si="102"/>
        <v>1.0693827160493827</v>
      </c>
      <c r="N456" s="6"/>
    </row>
    <row r="457" spans="1:14" x14ac:dyDescent="0.25">
      <c r="A457" s="4">
        <v>4060</v>
      </c>
      <c r="B457" s="5">
        <f t="shared" si="95"/>
        <v>4341.6000000000004</v>
      </c>
      <c r="C457" s="5">
        <f t="shared" si="96"/>
        <v>1292.3381379061902</v>
      </c>
      <c r="D457" s="34">
        <f t="shared" si="97"/>
        <v>1304.3381379061902</v>
      </c>
      <c r="E457" s="34">
        <f t="shared" si="98"/>
        <v>4097.6991118430778</v>
      </c>
      <c r="F457" s="39">
        <f t="shared" si="99"/>
        <v>2048.8495559215389</v>
      </c>
      <c r="G457" s="46">
        <f t="shared" si="103"/>
        <v>1.06</v>
      </c>
      <c r="H457" s="5">
        <f t="shared" si="100"/>
        <v>281.60000000000002</v>
      </c>
      <c r="I457" s="4"/>
      <c r="J457" s="4">
        <v>0.06</v>
      </c>
      <c r="K457" s="5">
        <f t="shared" si="101"/>
        <v>243.6</v>
      </c>
      <c r="L457" s="4">
        <v>38</v>
      </c>
      <c r="M457" s="7">
        <f t="shared" si="102"/>
        <v>1.0693596059113302</v>
      </c>
      <c r="N457" s="6"/>
    </row>
    <row r="458" spans="1:14" x14ac:dyDescent="0.25">
      <c r="A458" s="4">
        <v>4070</v>
      </c>
      <c r="B458" s="5">
        <f t="shared" si="95"/>
        <v>4352.2</v>
      </c>
      <c r="C458" s="5">
        <f t="shared" si="96"/>
        <v>1295.5212367680281</v>
      </c>
      <c r="D458" s="34">
        <f t="shared" si="97"/>
        <v>1307.5212367680281</v>
      </c>
      <c r="E458" s="34">
        <f t="shared" si="98"/>
        <v>4107.6991118430778</v>
      </c>
      <c r="F458" s="39">
        <f t="shared" si="99"/>
        <v>2053.8495559215389</v>
      </c>
      <c r="G458" s="46">
        <f t="shared" si="103"/>
        <v>1.06</v>
      </c>
      <c r="H458" s="5">
        <f t="shared" si="100"/>
        <v>282.2</v>
      </c>
      <c r="I458" s="4"/>
      <c r="J458" s="4">
        <v>0.06</v>
      </c>
      <c r="K458" s="5">
        <f t="shared" si="101"/>
        <v>244.2</v>
      </c>
      <c r="L458" s="4">
        <v>38</v>
      </c>
      <c r="M458" s="7">
        <f t="shared" si="102"/>
        <v>1.0693366093366092</v>
      </c>
      <c r="N458" s="6"/>
    </row>
    <row r="459" spans="1:14" x14ac:dyDescent="0.25">
      <c r="A459" s="4">
        <v>4080</v>
      </c>
      <c r="B459" s="5">
        <f t="shared" si="95"/>
        <v>4362.8</v>
      </c>
      <c r="C459" s="5">
        <f t="shared" si="96"/>
        <v>1298.7043356298659</v>
      </c>
      <c r="D459" s="34">
        <f t="shared" si="97"/>
        <v>1310.7043356298659</v>
      </c>
      <c r="E459" s="34">
        <f t="shared" si="98"/>
        <v>4117.6991118430769</v>
      </c>
      <c r="F459" s="39">
        <f t="shared" si="99"/>
        <v>2058.8495559215385</v>
      </c>
      <c r="G459" s="46">
        <f t="shared" si="103"/>
        <v>1.06</v>
      </c>
      <c r="H459" s="5">
        <f t="shared" si="100"/>
        <v>282.79999999999995</v>
      </c>
      <c r="I459" s="4"/>
      <c r="J459" s="4">
        <v>0.06</v>
      </c>
      <c r="K459" s="5">
        <f t="shared" si="101"/>
        <v>244.79999999999998</v>
      </c>
      <c r="L459" s="4">
        <v>38</v>
      </c>
      <c r="M459" s="7">
        <f t="shared" si="102"/>
        <v>1.0693137254901961</v>
      </c>
      <c r="N459" s="6"/>
    </row>
    <row r="460" spans="1:14" x14ac:dyDescent="0.25">
      <c r="A460" s="4">
        <v>4090</v>
      </c>
      <c r="B460" s="5">
        <f t="shared" si="95"/>
        <v>4373.3999999999996</v>
      </c>
      <c r="C460" s="5">
        <f t="shared" si="96"/>
        <v>1301.887434491704</v>
      </c>
      <c r="D460" s="34">
        <f t="shared" si="97"/>
        <v>1313.887434491704</v>
      </c>
      <c r="E460" s="34">
        <f t="shared" si="98"/>
        <v>4127.6991118430778</v>
      </c>
      <c r="F460" s="39">
        <f t="shared" si="99"/>
        <v>2063.8495559215389</v>
      </c>
      <c r="G460" s="46">
        <f t="shared" si="103"/>
        <v>1.06</v>
      </c>
      <c r="H460" s="5">
        <f t="shared" si="100"/>
        <v>283.39999999999998</v>
      </c>
      <c r="I460" s="4"/>
      <c r="J460" s="4">
        <v>0.06</v>
      </c>
      <c r="K460" s="5">
        <f t="shared" si="101"/>
        <v>245.39999999999998</v>
      </c>
      <c r="L460" s="4">
        <v>38</v>
      </c>
      <c r="M460" s="7">
        <f t="shared" si="102"/>
        <v>1.0692909535452322</v>
      </c>
      <c r="N460" s="6"/>
    </row>
    <row r="461" spans="1:14" x14ac:dyDescent="0.25">
      <c r="A461" s="4">
        <v>4100</v>
      </c>
      <c r="B461" s="5">
        <f t="shared" si="95"/>
        <v>4384</v>
      </c>
      <c r="C461" s="5">
        <f t="shared" si="96"/>
        <v>1305.0705333535418</v>
      </c>
      <c r="D461" s="34">
        <f t="shared" si="97"/>
        <v>1317.0705333535418</v>
      </c>
      <c r="E461" s="34">
        <f t="shared" si="98"/>
        <v>4137.6991118430778</v>
      </c>
      <c r="F461" s="39">
        <f t="shared" si="99"/>
        <v>2068.8495559215389</v>
      </c>
      <c r="G461" s="46">
        <f t="shared" si="103"/>
        <v>1.06</v>
      </c>
      <c r="H461" s="5">
        <f t="shared" si="100"/>
        <v>284</v>
      </c>
      <c r="I461" s="4"/>
      <c r="J461" s="4">
        <v>0.06</v>
      </c>
      <c r="K461" s="5">
        <f t="shared" si="101"/>
        <v>246</v>
      </c>
      <c r="L461" s="4">
        <v>38</v>
      </c>
      <c r="M461" s="7">
        <f t="shared" si="102"/>
        <v>1.0692682926829269</v>
      </c>
      <c r="N461" s="6"/>
    </row>
    <row r="462" spans="1:14" x14ac:dyDescent="0.25">
      <c r="A462" s="4">
        <v>4110</v>
      </c>
      <c r="B462" s="5">
        <f t="shared" si="95"/>
        <v>4394.6000000000004</v>
      </c>
      <c r="C462" s="5">
        <f t="shared" si="96"/>
        <v>1308.2536322153796</v>
      </c>
      <c r="D462" s="34">
        <f t="shared" si="97"/>
        <v>1320.2536322153796</v>
      </c>
      <c r="E462" s="34">
        <f t="shared" si="98"/>
        <v>4147.6991118430769</v>
      </c>
      <c r="F462" s="39">
        <f t="shared" si="99"/>
        <v>2073.8495559215385</v>
      </c>
      <c r="G462" s="46">
        <f t="shared" si="103"/>
        <v>1.06</v>
      </c>
      <c r="H462" s="5">
        <f t="shared" si="100"/>
        <v>284.60000000000002</v>
      </c>
      <c r="I462" s="4"/>
      <c r="J462" s="4">
        <v>0.06</v>
      </c>
      <c r="K462" s="5">
        <f t="shared" si="101"/>
        <v>246.6</v>
      </c>
      <c r="L462" s="4">
        <v>38</v>
      </c>
      <c r="M462" s="7">
        <f t="shared" si="102"/>
        <v>1.0692457420924575</v>
      </c>
      <c r="N462" s="6"/>
    </row>
    <row r="463" spans="1:14" x14ac:dyDescent="0.25">
      <c r="A463" s="4">
        <v>4120</v>
      </c>
      <c r="B463" s="5">
        <f t="shared" si="95"/>
        <v>4405.2</v>
      </c>
      <c r="C463" s="5">
        <f t="shared" si="96"/>
        <v>1311.4367310772177</v>
      </c>
      <c r="D463" s="34">
        <f t="shared" si="97"/>
        <v>1323.4367310772177</v>
      </c>
      <c r="E463" s="34">
        <f t="shared" si="98"/>
        <v>4157.6991118430778</v>
      </c>
      <c r="F463" s="39">
        <f t="shared" si="99"/>
        <v>2078.8495559215389</v>
      </c>
      <c r="G463" s="46">
        <f t="shared" si="103"/>
        <v>1.06</v>
      </c>
      <c r="H463" s="5">
        <f t="shared" si="100"/>
        <v>285.2</v>
      </c>
      <c r="I463" s="4"/>
      <c r="J463" s="4">
        <v>0.06</v>
      </c>
      <c r="K463" s="5">
        <f t="shared" si="101"/>
        <v>247.2</v>
      </c>
      <c r="L463" s="4">
        <v>38</v>
      </c>
      <c r="M463" s="7">
        <f t="shared" si="102"/>
        <v>1.0692233009708738</v>
      </c>
      <c r="N463" s="6"/>
    </row>
    <row r="464" spans="1:14" x14ac:dyDescent="0.25">
      <c r="A464" s="4">
        <v>4130</v>
      </c>
      <c r="B464" s="5">
        <f t="shared" si="95"/>
        <v>4415.8</v>
      </c>
      <c r="C464" s="5">
        <f t="shared" si="96"/>
        <v>1314.6198299390555</v>
      </c>
      <c r="D464" s="34">
        <f t="shared" si="97"/>
        <v>1326.6198299390555</v>
      </c>
      <c r="E464" s="34">
        <f t="shared" si="98"/>
        <v>4167.6991118430778</v>
      </c>
      <c r="F464" s="39">
        <f t="shared" si="99"/>
        <v>2083.8495559215389</v>
      </c>
      <c r="G464" s="46">
        <f t="shared" si="103"/>
        <v>1.06</v>
      </c>
      <c r="H464" s="5">
        <f t="shared" si="100"/>
        <v>285.79999999999995</v>
      </c>
      <c r="I464" s="4"/>
      <c r="J464" s="4">
        <v>0.06</v>
      </c>
      <c r="K464" s="5">
        <f t="shared" si="101"/>
        <v>247.79999999999998</v>
      </c>
      <c r="L464" s="4">
        <v>38</v>
      </c>
      <c r="M464" s="7">
        <f t="shared" si="102"/>
        <v>1.0692009685230024</v>
      </c>
      <c r="N464" s="6"/>
    </row>
    <row r="465" spans="1:14" x14ac:dyDescent="0.25">
      <c r="A465" s="4">
        <v>4140</v>
      </c>
      <c r="B465" s="5">
        <f t="shared" si="95"/>
        <v>4426.3999999999996</v>
      </c>
      <c r="C465" s="5">
        <f t="shared" si="96"/>
        <v>1317.8029288008934</v>
      </c>
      <c r="D465" s="34">
        <f t="shared" si="97"/>
        <v>1329.8029288008934</v>
      </c>
      <c r="E465" s="34">
        <f t="shared" si="98"/>
        <v>4177.6991118430769</v>
      </c>
      <c r="F465" s="39">
        <f t="shared" si="99"/>
        <v>2088.8495559215385</v>
      </c>
      <c r="G465" s="46">
        <f t="shared" si="103"/>
        <v>1.06</v>
      </c>
      <c r="H465" s="5">
        <f t="shared" si="100"/>
        <v>286.39999999999998</v>
      </c>
      <c r="I465" s="4"/>
      <c r="J465" s="4">
        <v>0.06</v>
      </c>
      <c r="K465" s="5">
        <f t="shared" si="101"/>
        <v>248.39999999999998</v>
      </c>
      <c r="L465" s="4">
        <v>38</v>
      </c>
      <c r="M465" s="7">
        <f t="shared" si="102"/>
        <v>1.0691787439613525</v>
      </c>
      <c r="N465" s="6"/>
    </row>
    <row r="466" spans="1:14" x14ac:dyDescent="0.25">
      <c r="A466" s="4">
        <v>4150</v>
      </c>
      <c r="B466" s="5">
        <f t="shared" si="95"/>
        <v>4437</v>
      </c>
      <c r="C466" s="5">
        <f t="shared" si="96"/>
        <v>1320.9860276627314</v>
      </c>
      <c r="D466" s="34">
        <f t="shared" si="97"/>
        <v>1332.9860276627314</v>
      </c>
      <c r="E466" s="34">
        <f t="shared" si="98"/>
        <v>4187.6991118430778</v>
      </c>
      <c r="F466" s="39">
        <f t="shared" si="99"/>
        <v>2093.8495559215389</v>
      </c>
      <c r="G466" s="46">
        <f t="shared" si="103"/>
        <v>1.06</v>
      </c>
      <c r="H466" s="5">
        <f t="shared" si="100"/>
        <v>287</v>
      </c>
      <c r="I466" s="4"/>
      <c r="J466" s="4">
        <v>0.06</v>
      </c>
      <c r="K466" s="5">
        <f t="shared" si="101"/>
        <v>249</v>
      </c>
      <c r="L466" s="4">
        <v>38</v>
      </c>
      <c r="M466" s="7">
        <f t="shared" si="102"/>
        <v>1.0691566265060242</v>
      </c>
      <c r="N466" s="6"/>
    </row>
    <row r="467" spans="1:14" x14ac:dyDescent="0.25">
      <c r="A467" s="4">
        <v>4160</v>
      </c>
      <c r="B467" s="5">
        <f t="shared" si="95"/>
        <v>4447.6000000000004</v>
      </c>
      <c r="C467" s="5">
        <f t="shared" si="96"/>
        <v>1324.1691265245693</v>
      </c>
      <c r="D467" s="34">
        <f t="shared" si="97"/>
        <v>1336.1691265245693</v>
      </c>
      <c r="E467" s="34">
        <f t="shared" si="98"/>
        <v>4197.6991118430778</v>
      </c>
      <c r="F467" s="39">
        <f t="shared" si="99"/>
        <v>2098.8495559215389</v>
      </c>
      <c r="G467" s="46">
        <f t="shared" si="103"/>
        <v>1.06</v>
      </c>
      <c r="H467" s="5">
        <f t="shared" si="100"/>
        <v>287.60000000000002</v>
      </c>
      <c r="I467" s="4"/>
      <c r="J467" s="4">
        <v>0.06</v>
      </c>
      <c r="K467" s="5">
        <f t="shared" si="101"/>
        <v>249.6</v>
      </c>
      <c r="L467" s="4">
        <v>38</v>
      </c>
      <c r="M467" s="7">
        <f t="shared" si="102"/>
        <v>1.0691346153846155</v>
      </c>
      <c r="N467" s="6"/>
    </row>
    <row r="468" spans="1:14" x14ac:dyDescent="0.25">
      <c r="A468" s="4">
        <v>4170</v>
      </c>
      <c r="B468" s="5">
        <f t="shared" si="95"/>
        <v>4458.2</v>
      </c>
      <c r="C468" s="5">
        <f t="shared" si="96"/>
        <v>1327.3522253864071</v>
      </c>
      <c r="D468" s="34">
        <f t="shared" si="97"/>
        <v>1339.3522253864071</v>
      </c>
      <c r="E468" s="34">
        <f t="shared" si="98"/>
        <v>4207.6991118430769</v>
      </c>
      <c r="F468" s="39">
        <f t="shared" si="99"/>
        <v>2103.8495559215385</v>
      </c>
      <c r="G468" s="46">
        <f t="shared" si="103"/>
        <v>1.06</v>
      </c>
      <c r="H468" s="5">
        <f t="shared" si="100"/>
        <v>288.2</v>
      </c>
      <c r="I468" s="4"/>
      <c r="J468" s="4">
        <v>0.06</v>
      </c>
      <c r="K468" s="5">
        <f t="shared" si="101"/>
        <v>250.2</v>
      </c>
      <c r="L468" s="4">
        <v>38</v>
      </c>
      <c r="M468" s="7">
        <f t="shared" si="102"/>
        <v>1.0691127098321342</v>
      </c>
      <c r="N468" s="6"/>
    </row>
    <row r="469" spans="1:14" x14ac:dyDescent="0.25">
      <c r="A469" s="4">
        <v>4180</v>
      </c>
      <c r="B469" s="5">
        <f t="shared" si="95"/>
        <v>4468.8</v>
      </c>
      <c r="C469" s="5">
        <f t="shared" si="96"/>
        <v>1330.5353242482452</v>
      </c>
      <c r="D469" s="34">
        <f t="shared" si="97"/>
        <v>1342.5353242482452</v>
      </c>
      <c r="E469" s="34">
        <f t="shared" si="98"/>
        <v>4217.6991118430778</v>
      </c>
      <c r="F469" s="39">
        <f t="shared" si="99"/>
        <v>2108.8495559215389</v>
      </c>
      <c r="G469" s="46">
        <f t="shared" si="103"/>
        <v>1.06</v>
      </c>
      <c r="H469" s="5">
        <f t="shared" si="100"/>
        <v>288.79999999999995</v>
      </c>
      <c r="I469" s="4"/>
      <c r="J469" s="4">
        <v>0.06</v>
      </c>
      <c r="K469" s="5">
        <f t="shared" si="101"/>
        <v>250.79999999999998</v>
      </c>
      <c r="L469" s="4">
        <v>38</v>
      </c>
      <c r="M469" s="7">
        <f t="shared" si="102"/>
        <v>1.0690909090909091</v>
      </c>
      <c r="N469" s="6"/>
    </row>
    <row r="470" spans="1:14" x14ac:dyDescent="0.25">
      <c r="A470" s="4">
        <v>4190</v>
      </c>
      <c r="B470" s="5">
        <f t="shared" si="95"/>
        <v>4479.3999999999996</v>
      </c>
      <c r="C470" s="5">
        <f t="shared" si="96"/>
        <v>1333.718423110083</v>
      </c>
      <c r="D470" s="34">
        <f t="shared" si="97"/>
        <v>1345.718423110083</v>
      </c>
      <c r="E470" s="34">
        <f t="shared" si="98"/>
        <v>4227.6991118430778</v>
      </c>
      <c r="F470" s="39">
        <f t="shared" si="99"/>
        <v>2113.8495559215389</v>
      </c>
      <c r="G470" s="46">
        <f t="shared" si="103"/>
        <v>1.06</v>
      </c>
      <c r="H470" s="5">
        <f t="shared" si="100"/>
        <v>289.39999999999998</v>
      </c>
      <c r="I470" s="4"/>
      <c r="J470" s="4">
        <v>0.06</v>
      </c>
      <c r="K470" s="5">
        <f t="shared" si="101"/>
        <v>251.39999999999998</v>
      </c>
      <c r="L470" s="4">
        <v>38</v>
      </c>
      <c r="M470" s="7">
        <f t="shared" si="102"/>
        <v>1.069069212410501</v>
      </c>
      <c r="N470" s="6"/>
    </row>
    <row r="471" spans="1:14" x14ac:dyDescent="0.25">
      <c r="A471" s="4">
        <v>4200</v>
      </c>
      <c r="B471" s="5">
        <f t="shared" si="95"/>
        <v>4490</v>
      </c>
      <c r="C471" s="5">
        <f t="shared" si="96"/>
        <v>1336.9015219719208</v>
      </c>
      <c r="D471" s="34">
        <f t="shared" si="97"/>
        <v>1348.9015219719208</v>
      </c>
      <c r="E471" s="34">
        <f t="shared" si="98"/>
        <v>4237.6991118430769</v>
      </c>
      <c r="F471" s="39">
        <f t="shared" si="99"/>
        <v>2118.8495559215385</v>
      </c>
      <c r="G471" s="46">
        <f t="shared" si="103"/>
        <v>1.06</v>
      </c>
      <c r="H471" s="5">
        <f t="shared" si="100"/>
        <v>290</v>
      </c>
      <c r="I471" s="4"/>
      <c r="J471" s="4">
        <v>0.06</v>
      </c>
      <c r="K471" s="5">
        <f t="shared" si="101"/>
        <v>252</v>
      </c>
      <c r="L471" s="4">
        <v>38</v>
      </c>
      <c r="M471" s="7">
        <f t="shared" si="102"/>
        <v>1.069047619047619</v>
      </c>
      <c r="N471" s="6"/>
    </row>
    <row r="472" spans="1:14" x14ac:dyDescent="0.25">
      <c r="A472" s="4">
        <v>4210</v>
      </c>
      <c r="B472" s="5">
        <f t="shared" si="95"/>
        <v>4500.6000000000004</v>
      </c>
      <c r="C472" s="5">
        <f t="shared" si="96"/>
        <v>1340.0846208337589</v>
      </c>
      <c r="D472" s="34">
        <f t="shared" si="97"/>
        <v>1352.0846208337589</v>
      </c>
      <c r="E472" s="34">
        <f t="shared" si="98"/>
        <v>4247.6991118430778</v>
      </c>
      <c r="F472" s="39">
        <f t="shared" si="99"/>
        <v>2123.8495559215389</v>
      </c>
      <c r="G472" s="46">
        <f t="shared" si="103"/>
        <v>1.06</v>
      </c>
      <c r="H472" s="5">
        <f t="shared" si="100"/>
        <v>290.60000000000002</v>
      </c>
      <c r="I472" s="4"/>
      <c r="J472" s="4">
        <v>0.06</v>
      </c>
      <c r="K472" s="5">
        <f t="shared" si="101"/>
        <v>252.6</v>
      </c>
      <c r="L472" s="4">
        <v>38</v>
      </c>
      <c r="M472" s="7">
        <f t="shared" si="102"/>
        <v>1.0690261282660334</v>
      </c>
      <c r="N472" s="6"/>
    </row>
    <row r="473" spans="1:14" x14ac:dyDescent="0.25">
      <c r="A473" s="4">
        <v>4220</v>
      </c>
      <c r="B473" s="5">
        <f t="shared" si="95"/>
        <v>4511.2</v>
      </c>
      <c r="C473" s="5">
        <f t="shared" si="96"/>
        <v>1343.2677196955967</v>
      </c>
      <c r="D473" s="34">
        <f t="shared" si="97"/>
        <v>1355.2677196955967</v>
      </c>
      <c r="E473" s="34">
        <f t="shared" si="98"/>
        <v>4257.6991118430778</v>
      </c>
      <c r="F473" s="39">
        <f t="shared" si="99"/>
        <v>2128.8495559215389</v>
      </c>
      <c r="G473" s="46">
        <f t="shared" si="103"/>
        <v>1.06</v>
      </c>
      <c r="H473" s="5">
        <f t="shared" si="100"/>
        <v>291.2</v>
      </c>
      <c r="I473" s="4"/>
      <c r="J473" s="4">
        <v>0.06</v>
      </c>
      <c r="K473" s="5">
        <f t="shared" si="101"/>
        <v>253.2</v>
      </c>
      <c r="L473" s="4">
        <v>38</v>
      </c>
      <c r="M473" s="7">
        <f t="shared" si="102"/>
        <v>1.0690047393364928</v>
      </c>
      <c r="N473" s="6"/>
    </row>
    <row r="474" spans="1:14" x14ac:dyDescent="0.25">
      <c r="A474" s="4">
        <v>4230</v>
      </c>
      <c r="B474" s="5">
        <f t="shared" si="95"/>
        <v>4521.8</v>
      </c>
      <c r="C474" s="5">
        <f t="shared" si="96"/>
        <v>1346.4508185574346</v>
      </c>
      <c r="D474" s="34">
        <f t="shared" si="97"/>
        <v>1358.4508185574346</v>
      </c>
      <c r="E474" s="34">
        <f t="shared" si="98"/>
        <v>4267.6991118430778</v>
      </c>
      <c r="F474" s="39">
        <f t="shared" si="99"/>
        <v>2133.8495559215389</v>
      </c>
      <c r="G474" s="46">
        <f t="shared" si="103"/>
        <v>1.06</v>
      </c>
      <c r="H474" s="5">
        <f t="shared" si="100"/>
        <v>291.79999999999995</v>
      </c>
      <c r="I474" s="4"/>
      <c r="J474" s="4">
        <v>0.06</v>
      </c>
      <c r="K474" s="5">
        <f t="shared" si="101"/>
        <v>253.79999999999998</v>
      </c>
      <c r="L474" s="4">
        <v>38</v>
      </c>
      <c r="M474" s="7">
        <f t="shared" si="102"/>
        <v>1.068983451536643</v>
      </c>
      <c r="N474" s="6"/>
    </row>
    <row r="475" spans="1:14" x14ac:dyDescent="0.25">
      <c r="A475" s="4">
        <v>4240</v>
      </c>
      <c r="B475" s="5">
        <f t="shared" si="95"/>
        <v>4532.3999999999996</v>
      </c>
      <c r="C475" s="5">
        <f t="shared" si="96"/>
        <v>1349.6339174192724</v>
      </c>
      <c r="D475" s="34">
        <f t="shared" si="97"/>
        <v>1361.6339174192724</v>
      </c>
      <c r="E475" s="34">
        <f t="shared" si="98"/>
        <v>4277.6991118430769</v>
      </c>
      <c r="F475" s="39">
        <f t="shared" si="99"/>
        <v>2138.8495559215385</v>
      </c>
      <c r="G475" s="46">
        <f t="shared" si="103"/>
        <v>1.06</v>
      </c>
      <c r="H475" s="5">
        <f t="shared" si="100"/>
        <v>292.39999999999998</v>
      </c>
      <c r="I475" s="4"/>
      <c r="J475" s="4">
        <v>0.06</v>
      </c>
      <c r="K475" s="5">
        <f t="shared" si="101"/>
        <v>254.39999999999998</v>
      </c>
      <c r="L475" s="4">
        <v>38</v>
      </c>
      <c r="M475" s="7">
        <f t="shared" si="102"/>
        <v>1.0689622641509433</v>
      </c>
      <c r="N475" s="6"/>
    </row>
    <row r="476" spans="1:14" x14ac:dyDescent="0.25">
      <c r="A476" s="4">
        <v>4250</v>
      </c>
      <c r="B476" s="5">
        <f t="shared" si="95"/>
        <v>4543</v>
      </c>
      <c r="C476" s="5">
        <f t="shared" si="96"/>
        <v>1352.8170162811105</v>
      </c>
      <c r="D476" s="34">
        <f t="shared" si="97"/>
        <v>1364.8170162811105</v>
      </c>
      <c r="E476" s="34">
        <f t="shared" si="98"/>
        <v>4287.6991118430778</v>
      </c>
      <c r="F476" s="39">
        <f t="shared" si="99"/>
        <v>2143.8495559215389</v>
      </c>
      <c r="G476" s="46">
        <f t="shared" si="103"/>
        <v>1.06</v>
      </c>
      <c r="H476" s="5">
        <f t="shared" si="100"/>
        <v>293</v>
      </c>
      <c r="I476" s="4"/>
      <c r="J476" s="4">
        <v>0.06</v>
      </c>
      <c r="K476" s="5">
        <f t="shared" si="101"/>
        <v>255</v>
      </c>
      <c r="L476" s="4">
        <v>38</v>
      </c>
      <c r="M476" s="7">
        <f t="shared" si="102"/>
        <v>1.0689411764705883</v>
      </c>
      <c r="N476" s="6"/>
    </row>
    <row r="477" spans="1:14" x14ac:dyDescent="0.25">
      <c r="A477" s="4">
        <v>4260</v>
      </c>
      <c r="B477" s="5">
        <f t="shared" si="95"/>
        <v>4553.6000000000004</v>
      </c>
      <c r="C477" s="5">
        <f t="shared" si="96"/>
        <v>1356.0001151429483</v>
      </c>
      <c r="D477" s="34">
        <f t="shared" si="97"/>
        <v>1368.0001151429483</v>
      </c>
      <c r="E477" s="34">
        <f t="shared" si="98"/>
        <v>4297.6991118430778</v>
      </c>
      <c r="F477" s="39">
        <f t="shared" si="99"/>
        <v>2148.8495559215389</v>
      </c>
      <c r="G477" s="46">
        <f t="shared" si="103"/>
        <v>1.06</v>
      </c>
      <c r="H477" s="5">
        <f t="shared" si="100"/>
        <v>293.60000000000002</v>
      </c>
      <c r="I477" s="4"/>
      <c r="J477" s="4">
        <v>0.06</v>
      </c>
      <c r="K477" s="5">
        <f t="shared" si="101"/>
        <v>255.6</v>
      </c>
      <c r="L477" s="4">
        <v>38</v>
      </c>
      <c r="M477" s="7">
        <f t="shared" si="102"/>
        <v>1.0689201877934273</v>
      </c>
      <c r="N477" s="6"/>
    </row>
    <row r="478" spans="1:14" x14ac:dyDescent="0.25">
      <c r="A478" s="4">
        <v>4270</v>
      </c>
      <c r="B478" s="5">
        <f t="shared" si="95"/>
        <v>4564.2</v>
      </c>
      <c r="C478" s="5">
        <f t="shared" si="96"/>
        <v>1359.1832140047861</v>
      </c>
      <c r="D478" s="34">
        <f t="shared" si="97"/>
        <v>1371.1832140047861</v>
      </c>
      <c r="E478" s="34">
        <f t="shared" si="98"/>
        <v>4307.6991118430769</v>
      </c>
      <c r="F478" s="39">
        <f t="shared" si="99"/>
        <v>2153.8495559215385</v>
      </c>
      <c r="G478" s="46">
        <f t="shared" si="103"/>
        <v>1.06</v>
      </c>
      <c r="H478" s="5">
        <f t="shared" si="100"/>
        <v>294.2</v>
      </c>
      <c r="I478" s="4"/>
      <c r="J478" s="4">
        <v>0.06</v>
      </c>
      <c r="K478" s="5">
        <f t="shared" si="101"/>
        <v>256.2</v>
      </c>
      <c r="L478" s="4">
        <v>38</v>
      </c>
      <c r="M478" s="7">
        <f t="shared" si="102"/>
        <v>1.0688992974238876</v>
      </c>
      <c r="N478" s="6"/>
    </row>
    <row r="479" spans="1:14" x14ac:dyDescent="0.25">
      <c r="A479" s="4">
        <v>4280</v>
      </c>
      <c r="B479" s="5">
        <f t="shared" si="95"/>
        <v>4574.8</v>
      </c>
      <c r="C479" s="5">
        <f t="shared" si="96"/>
        <v>1362.3663128666242</v>
      </c>
      <c r="D479" s="34">
        <f t="shared" si="97"/>
        <v>1374.3663128666242</v>
      </c>
      <c r="E479" s="34">
        <f t="shared" si="98"/>
        <v>4317.6991118430778</v>
      </c>
      <c r="F479" s="39">
        <f t="shared" si="99"/>
        <v>2158.8495559215389</v>
      </c>
      <c r="G479" s="46">
        <f t="shared" si="103"/>
        <v>1.06</v>
      </c>
      <c r="H479" s="5">
        <f t="shared" si="100"/>
        <v>294.8</v>
      </c>
      <c r="I479" s="4"/>
      <c r="J479" s="4">
        <v>0.06</v>
      </c>
      <c r="K479" s="5">
        <f t="shared" si="101"/>
        <v>256.8</v>
      </c>
      <c r="L479" s="4">
        <v>38</v>
      </c>
      <c r="M479" s="7">
        <f t="shared" si="102"/>
        <v>1.0688785046728972</v>
      </c>
      <c r="N479" s="6"/>
    </row>
    <row r="480" spans="1:14" x14ac:dyDescent="0.25">
      <c r="A480" s="4">
        <v>4290</v>
      </c>
      <c r="B480" s="5">
        <f t="shared" si="95"/>
        <v>4585.3999999999996</v>
      </c>
      <c r="C480" s="5">
        <f t="shared" si="96"/>
        <v>1365.549411728462</v>
      </c>
      <c r="D480" s="34">
        <f t="shared" si="97"/>
        <v>1377.549411728462</v>
      </c>
      <c r="E480" s="34">
        <f t="shared" si="98"/>
        <v>4327.6991118430778</v>
      </c>
      <c r="F480" s="39">
        <f t="shared" si="99"/>
        <v>2163.8495559215389</v>
      </c>
      <c r="G480" s="46">
        <f t="shared" si="103"/>
        <v>1.06</v>
      </c>
      <c r="H480" s="5">
        <f t="shared" si="100"/>
        <v>295.39999999999998</v>
      </c>
      <c r="I480" s="4"/>
      <c r="J480" s="4">
        <v>0.06</v>
      </c>
      <c r="K480" s="5">
        <f t="shared" si="101"/>
        <v>257.39999999999998</v>
      </c>
      <c r="L480" s="4">
        <v>38</v>
      </c>
      <c r="M480" s="7">
        <f t="shared" si="102"/>
        <v>1.0688578088578087</v>
      </c>
      <c r="N480" s="6"/>
    </row>
    <row r="481" spans="1:14" x14ac:dyDescent="0.25">
      <c r="A481" s="4">
        <v>4300</v>
      </c>
      <c r="B481" s="5">
        <f t="shared" si="95"/>
        <v>4596</v>
      </c>
      <c r="C481" s="5">
        <f t="shared" si="96"/>
        <v>1368.7325105902999</v>
      </c>
      <c r="D481" s="34">
        <f t="shared" si="97"/>
        <v>1380.7325105902999</v>
      </c>
      <c r="E481" s="34">
        <f t="shared" si="98"/>
        <v>4337.6991118430769</v>
      </c>
      <c r="F481" s="39">
        <f t="shared" si="99"/>
        <v>2168.8495559215385</v>
      </c>
      <c r="G481" s="46">
        <f t="shared" si="103"/>
        <v>1.06</v>
      </c>
      <c r="H481" s="5">
        <f t="shared" si="100"/>
        <v>296</v>
      </c>
      <c r="I481" s="4"/>
      <c r="J481" s="4">
        <v>0.06</v>
      </c>
      <c r="K481" s="5">
        <f t="shared" si="101"/>
        <v>258</v>
      </c>
      <c r="L481" s="4">
        <v>38</v>
      </c>
      <c r="M481" s="7">
        <f t="shared" si="102"/>
        <v>1.0688372093023255</v>
      </c>
      <c r="N481" s="6"/>
    </row>
    <row r="482" spans="1:14" x14ac:dyDescent="0.25">
      <c r="A482" s="4">
        <v>4310</v>
      </c>
      <c r="B482" s="5">
        <f t="shared" si="95"/>
        <v>4606.6000000000004</v>
      </c>
      <c r="C482" s="5">
        <f t="shared" si="96"/>
        <v>1371.9156094521379</v>
      </c>
      <c r="D482" s="34">
        <f t="shared" si="97"/>
        <v>1383.9156094521379</v>
      </c>
      <c r="E482" s="34">
        <f t="shared" si="98"/>
        <v>4347.6991118430778</v>
      </c>
      <c r="F482" s="39">
        <f t="shared" si="99"/>
        <v>2173.8495559215389</v>
      </c>
      <c r="G482" s="46">
        <f t="shared" si="103"/>
        <v>1.06</v>
      </c>
      <c r="H482" s="5">
        <f t="shared" si="100"/>
        <v>296.59999999999997</v>
      </c>
      <c r="I482" s="4"/>
      <c r="J482" s="4">
        <v>0.06</v>
      </c>
      <c r="K482" s="5">
        <f t="shared" si="101"/>
        <v>258.59999999999997</v>
      </c>
      <c r="L482" s="4">
        <v>38</v>
      </c>
      <c r="M482" s="7">
        <f t="shared" si="102"/>
        <v>1.068816705336427</v>
      </c>
      <c r="N482" s="6"/>
    </row>
    <row r="483" spans="1:14" x14ac:dyDescent="0.25">
      <c r="A483" s="4">
        <v>4320</v>
      </c>
      <c r="B483" s="5">
        <f t="shared" si="95"/>
        <v>4617.2</v>
      </c>
      <c r="C483" s="5">
        <f t="shared" si="96"/>
        <v>1375.0987083139757</v>
      </c>
      <c r="D483" s="34">
        <f t="shared" si="97"/>
        <v>1387.0987083139757</v>
      </c>
      <c r="E483" s="34">
        <f t="shared" si="98"/>
        <v>4357.6991118430778</v>
      </c>
      <c r="F483" s="39">
        <f t="shared" si="99"/>
        <v>2178.8495559215389</v>
      </c>
      <c r="G483" s="46">
        <f t="shared" si="103"/>
        <v>1.06</v>
      </c>
      <c r="H483" s="5">
        <f t="shared" si="100"/>
        <v>297.2</v>
      </c>
      <c r="I483" s="4"/>
      <c r="J483" s="4">
        <v>0.06</v>
      </c>
      <c r="K483" s="5">
        <f t="shared" si="101"/>
        <v>259.2</v>
      </c>
      <c r="L483" s="4">
        <v>38</v>
      </c>
      <c r="M483" s="7">
        <f t="shared" si="102"/>
        <v>1.0687962962962962</v>
      </c>
      <c r="N483" s="6"/>
    </row>
    <row r="484" spans="1:14" x14ac:dyDescent="0.25">
      <c r="A484" s="4">
        <v>4330</v>
      </c>
      <c r="B484" s="5">
        <f t="shared" si="95"/>
        <v>4627.8</v>
      </c>
      <c r="C484" s="5">
        <f t="shared" si="96"/>
        <v>1378.2818071758136</v>
      </c>
      <c r="D484" s="34">
        <f t="shared" si="97"/>
        <v>1390.2818071758136</v>
      </c>
      <c r="E484" s="34">
        <f t="shared" si="98"/>
        <v>4367.6991118430769</v>
      </c>
      <c r="F484" s="39">
        <f t="shared" si="99"/>
        <v>2183.8495559215385</v>
      </c>
      <c r="G484" s="46">
        <f t="shared" si="103"/>
        <v>1.06</v>
      </c>
      <c r="H484" s="5">
        <f t="shared" si="100"/>
        <v>297.8</v>
      </c>
      <c r="I484" s="4"/>
      <c r="J484" s="4">
        <v>0.06</v>
      </c>
      <c r="K484" s="5">
        <f t="shared" si="101"/>
        <v>259.8</v>
      </c>
      <c r="L484" s="4">
        <v>38</v>
      </c>
      <c r="M484" s="7">
        <f t="shared" si="102"/>
        <v>1.0687759815242495</v>
      </c>
      <c r="N484" s="6"/>
    </row>
    <row r="485" spans="1:14" x14ac:dyDescent="0.25">
      <c r="A485" s="4">
        <v>4340</v>
      </c>
      <c r="B485" s="5">
        <f t="shared" si="95"/>
        <v>4638.3999999999996</v>
      </c>
      <c r="C485" s="5">
        <f t="shared" si="96"/>
        <v>1381.4649060376516</v>
      </c>
      <c r="D485" s="34">
        <f t="shared" si="97"/>
        <v>1393.4649060376516</v>
      </c>
      <c r="E485" s="34">
        <f t="shared" si="98"/>
        <v>4377.6991118430778</v>
      </c>
      <c r="F485" s="39">
        <f t="shared" si="99"/>
        <v>2188.8495559215389</v>
      </c>
      <c r="G485" s="46">
        <f t="shared" si="103"/>
        <v>1.06</v>
      </c>
      <c r="H485" s="5">
        <f t="shared" si="100"/>
        <v>298.39999999999998</v>
      </c>
      <c r="I485" s="4"/>
      <c r="J485" s="4">
        <v>0.06</v>
      </c>
      <c r="K485" s="5">
        <f t="shared" si="101"/>
        <v>260.39999999999998</v>
      </c>
      <c r="L485" s="4">
        <v>38</v>
      </c>
      <c r="M485" s="7">
        <f t="shared" si="102"/>
        <v>1.0687557603686635</v>
      </c>
      <c r="N485" s="6"/>
    </row>
    <row r="486" spans="1:14" x14ac:dyDescent="0.25">
      <c r="A486" s="4">
        <v>4350</v>
      </c>
      <c r="B486" s="5">
        <f t="shared" si="95"/>
        <v>4649</v>
      </c>
      <c r="C486" s="5">
        <f t="shared" si="96"/>
        <v>1384.6480048994895</v>
      </c>
      <c r="D486" s="34">
        <f t="shared" si="97"/>
        <v>1396.6480048994895</v>
      </c>
      <c r="E486" s="34">
        <f t="shared" si="98"/>
        <v>4387.6991118430778</v>
      </c>
      <c r="F486" s="39">
        <f t="shared" si="99"/>
        <v>2193.8495559215389</v>
      </c>
      <c r="G486" s="46">
        <f t="shared" si="103"/>
        <v>1.06</v>
      </c>
      <c r="H486" s="5">
        <f t="shared" si="100"/>
        <v>299</v>
      </c>
      <c r="I486" s="4"/>
      <c r="J486" s="4">
        <v>0.06</v>
      </c>
      <c r="K486" s="5">
        <f t="shared" si="101"/>
        <v>261</v>
      </c>
      <c r="L486" s="4">
        <v>38</v>
      </c>
      <c r="M486" s="7">
        <f t="shared" si="102"/>
        <v>1.0687356321839081</v>
      </c>
      <c r="N486" s="6"/>
    </row>
    <row r="487" spans="1:14" x14ac:dyDescent="0.25">
      <c r="A487" s="4">
        <v>4360</v>
      </c>
      <c r="B487" s="5">
        <f t="shared" si="95"/>
        <v>4659.6000000000004</v>
      </c>
      <c r="C487" s="5">
        <f t="shared" si="96"/>
        <v>1387.8311037613273</v>
      </c>
      <c r="D487" s="34">
        <f t="shared" si="97"/>
        <v>1399.8311037613273</v>
      </c>
      <c r="E487" s="34">
        <f t="shared" si="98"/>
        <v>4397.6991118430769</v>
      </c>
      <c r="F487" s="39">
        <f t="shared" si="99"/>
        <v>2198.8495559215385</v>
      </c>
      <c r="G487" s="46">
        <f t="shared" si="103"/>
        <v>1.06</v>
      </c>
      <c r="H487" s="5">
        <f t="shared" si="100"/>
        <v>299.59999999999997</v>
      </c>
      <c r="I487" s="4"/>
      <c r="J487" s="4">
        <v>0.06</v>
      </c>
      <c r="K487" s="5">
        <f t="shared" si="101"/>
        <v>261.59999999999997</v>
      </c>
      <c r="L487" s="4">
        <v>38</v>
      </c>
      <c r="M487" s="7">
        <f t="shared" si="102"/>
        <v>1.0687155963302752</v>
      </c>
      <c r="N487" s="6"/>
    </row>
    <row r="488" spans="1:14" x14ac:dyDescent="0.25">
      <c r="A488" s="4">
        <v>4370</v>
      </c>
      <c r="B488" s="5">
        <f t="shared" si="95"/>
        <v>4670.2</v>
      </c>
      <c r="C488" s="5">
        <f t="shared" si="96"/>
        <v>1391.0142026231654</v>
      </c>
      <c r="D488" s="34">
        <f t="shared" si="97"/>
        <v>1403.0142026231654</v>
      </c>
      <c r="E488" s="34">
        <f t="shared" si="98"/>
        <v>4407.6991118430778</v>
      </c>
      <c r="F488" s="39">
        <f t="shared" si="99"/>
        <v>2203.8495559215389</v>
      </c>
      <c r="G488" s="46">
        <f t="shared" si="103"/>
        <v>1.06</v>
      </c>
      <c r="H488" s="5">
        <f t="shared" si="100"/>
        <v>300.2</v>
      </c>
      <c r="I488" s="4"/>
      <c r="J488" s="4">
        <v>0.06</v>
      </c>
      <c r="K488" s="5">
        <f t="shared" si="101"/>
        <v>262.2</v>
      </c>
      <c r="L488" s="4">
        <v>38</v>
      </c>
      <c r="M488" s="7">
        <f t="shared" si="102"/>
        <v>1.068695652173913</v>
      </c>
      <c r="N488" s="6"/>
    </row>
    <row r="489" spans="1:14" x14ac:dyDescent="0.25">
      <c r="A489" s="4">
        <v>4380</v>
      </c>
      <c r="B489" s="5">
        <f t="shared" si="95"/>
        <v>4680.8</v>
      </c>
      <c r="C489" s="5">
        <f t="shared" si="96"/>
        <v>1394.1973014850032</v>
      </c>
      <c r="D489" s="34">
        <f t="shared" si="97"/>
        <v>1406.1973014850032</v>
      </c>
      <c r="E489" s="34">
        <f t="shared" si="98"/>
        <v>4417.6991118430778</v>
      </c>
      <c r="F489" s="39">
        <f t="shared" si="99"/>
        <v>2208.8495559215389</v>
      </c>
      <c r="G489" s="46">
        <f t="shared" si="103"/>
        <v>1.06</v>
      </c>
      <c r="H489" s="5">
        <f t="shared" si="100"/>
        <v>300.8</v>
      </c>
      <c r="I489" s="4"/>
      <c r="J489" s="4">
        <v>0.06</v>
      </c>
      <c r="K489" s="5">
        <f t="shared" si="101"/>
        <v>262.8</v>
      </c>
      <c r="L489" s="4">
        <v>38</v>
      </c>
      <c r="M489" s="7">
        <f t="shared" si="102"/>
        <v>1.0686757990867581</v>
      </c>
      <c r="N489" s="6"/>
    </row>
    <row r="490" spans="1:14" x14ac:dyDescent="0.25">
      <c r="A490" s="4">
        <v>4390</v>
      </c>
      <c r="B490" s="5">
        <f t="shared" si="95"/>
        <v>4691.3999999999996</v>
      </c>
      <c r="C490" s="5">
        <f t="shared" si="96"/>
        <v>1397.380400346841</v>
      </c>
      <c r="D490" s="34">
        <f t="shared" si="97"/>
        <v>1409.380400346841</v>
      </c>
      <c r="E490" s="34">
        <f t="shared" si="98"/>
        <v>4427.6991118430769</v>
      </c>
      <c r="F490" s="39">
        <f t="shared" si="99"/>
        <v>2213.8495559215385</v>
      </c>
      <c r="G490" s="46">
        <f t="shared" si="103"/>
        <v>1.06</v>
      </c>
      <c r="H490" s="5">
        <f t="shared" si="100"/>
        <v>301.39999999999998</v>
      </c>
      <c r="I490" s="4"/>
      <c r="J490" s="4">
        <v>0.06</v>
      </c>
      <c r="K490" s="5">
        <f t="shared" si="101"/>
        <v>263.39999999999998</v>
      </c>
      <c r="L490" s="4">
        <v>38</v>
      </c>
      <c r="M490" s="7">
        <f t="shared" si="102"/>
        <v>1.0686560364464692</v>
      </c>
      <c r="N490" s="6"/>
    </row>
    <row r="491" spans="1:14" x14ac:dyDescent="0.25">
      <c r="A491" s="4">
        <v>4400</v>
      </c>
      <c r="B491" s="5">
        <f t="shared" si="95"/>
        <v>4702</v>
      </c>
      <c r="C491" s="5">
        <f t="shared" si="96"/>
        <v>1400.5634992086791</v>
      </c>
      <c r="D491" s="34">
        <f t="shared" si="97"/>
        <v>1412.5634992086791</v>
      </c>
      <c r="E491" s="34">
        <f t="shared" si="98"/>
        <v>4437.6991118430778</v>
      </c>
      <c r="F491" s="39">
        <f t="shared" si="99"/>
        <v>2218.8495559215389</v>
      </c>
      <c r="G491" s="46">
        <f t="shared" si="103"/>
        <v>1.06</v>
      </c>
      <c r="H491" s="5">
        <f t="shared" si="100"/>
        <v>302</v>
      </c>
      <c r="I491" s="4"/>
      <c r="J491" s="4">
        <v>0.06</v>
      </c>
      <c r="K491" s="5">
        <f t="shared" si="101"/>
        <v>264</v>
      </c>
      <c r="L491" s="4">
        <v>38</v>
      </c>
      <c r="M491" s="7">
        <f t="shared" si="102"/>
        <v>1.0686363636363636</v>
      </c>
      <c r="N491" s="6"/>
    </row>
    <row r="492" spans="1:14" x14ac:dyDescent="0.25">
      <c r="A492" s="4">
        <v>4410</v>
      </c>
      <c r="B492" s="5">
        <f t="shared" si="95"/>
        <v>4712.6000000000004</v>
      </c>
      <c r="C492" s="5">
        <f t="shared" si="96"/>
        <v>1403.7465980705169</v>
      </c>
      <c r="D492" s="34">
        <f t="shared" si="97"/>
        <v>1415.7465980705169</v>
      </c>
      <c r="E492" s="34">
        <f t="shared" si="98"/>
        <v>4447.6991118430778</v>
      </c>
      <c r="F492" s="39">
        <f t="shared" si="99"/>
        <v>2223.8495559215389</v>
      </c>
      <c r="G492" s="46">
        <f t="shared" si="103"/>
        <v>1.06</v>
      </c>
      <c r="H492" s="5">
        <f t="shared" si="100"/>
        <v>302.59999999999997</v>
      </c>
      <c r="I492" s="4"/>
      <c r="J492" s="4">
        <v>0.06</v>
      </c>
      <c r="K492" s="5">
        <f t="shared" si="101"/>
        <v>264.59999999999997</v>
      </c>
      <c r="L492" s="4">
        <v>38</v>
      </c>
      <c r="M492" s="7">
        <f t="shared" si="102"/>
        <v>1.0686167800453517</v>
      </c>
      <c r="N492" s="6"/>
    </row>
    <row r="493" spans="1:14" x14ac:dyDescent="0.25">
      <c r="A493" s="4">
        <v>4420</v>
      </c>
      <c r="B493" s="5">
        <f t="shared" si="95"/>
        <v>4723.2</v>
      </c>
      <c r="C493" s="5">
        <f t="shared" si="96"/>
        <v>1406.9296969323548</v>
      </c>
      <c r="D493" s="34">
        <f t="shared" si="97"/>
        <v>1418.9296969323548</v>
      </c>
      <c r="E493" s="34">
        <f t="shared" si="98"/>
        <v>4457.6991118430769</v>
      </c>
      <c r="F493" s="39">
        <f t="shared" si="99"/>
        <v>2228.8495559215385</v>
      </c>
      <c r="G493" s="46">
        <f t="shared" si="103"/>
        <v>1.06</v>
      </c>
      <c r="H493" s="5">
        <f t="shared" si="100"/>
        <v>303.2</v>
      </c>
      <c r="I493" s="4"/>
      <c r="J493" s="4">
        <v>0.06</v>
      </c>
      <c r="K493" s="5">
        <f t="shared" si="101"/>
        <v>265.2</v>
      </c>
      <c r="L493" s="4">
        <v>38</v>
      </c>
      <c r="M493" s="7">
        <f t="shared" si="102"/>
        <v>1.0685972850678733</v>
      </c>
      <c r="N493" s="6"/>
    </row>
    <row r="494" spans="1:14" x14ac:dyDescent="0.25">
      <c r="A494" s="4">
        <v>4430</v>
      </c>
      <c r="B494" s="5">
        <f t="shared" ref="B494:B557" si="104">A494+K494+L494</f>
        <v>4733.8</v>
      </c>
      <c r="C494" s="5">
        <f t="shared" ref="C494:C557" si="105">A494/PI()</f>
        <v>1410.1127957941928</v>
      </c>
      <c r="D494" s="34">
        <f t="shared" ref="D494:D557" si="106">C494+12</f>
        <v>1422.1127957941928</v>
      </c>
      <c r="E494" s="34">
        <f t="shared" ref="E494:E557" si="107">D494*PI()</f>
        <v>4467.6991118430778</v>
      </c>
      <c r="F494" s="39">
        <f t="shared" ref="F494:F557" si="108">E494/2</f>
        <v>2233.8495559215389</v>
      </c>
      <c r="G494" s="46">
        <f t="shared" si="103"/>
        <v>1.06</v>
      </c>
      <c r="H494" s="5">
        <f t="shared" ref="H494:H557" si="109">K494+L494</f>
        <v>303.8</v>
      </c>
      <c r="I494" s="4"/>
      <c r="J494" s="4">
        <v>0.06</v>
      </c>
      <c r="K494" s="5">
        <f t="shared" ref="K494:K557" si="110">A494*J494</f>
        <v>265.8</v>
      </c>
      <c r="L494" s="4">
        <v>38</v>
      </c>
      <c r="M494" s="7">
        <f t="shared" ref="M494:M557" si="111">B494/A494</f>
        <v>1.0685778781038375</v>
      </c>
      <c r="N494" s="6"/>
    </row>
    <row r="495" spans="1:14" x14ac:dyDescent="0.25">
      <c r="A495" s="4">
        <v>4440</v>
      </c>
      <c r="B495" s="5">
        <f t="shared" si="104"/>
        <v>4744.3999999999996</v>
      </c>
      <c r="C495" s="5">
        <f t="shared" si="105"/>
        <v>1413.2958946560307</v>
      </c>
      <c r="D495" s="34">
        <f t="shared" si="106"/>
        <v>1425.2958946560307</v>
      </c>
      <c r="E495" s="34">
        <f t="shared" si="107"/>
        <v>4477.6991118430778</v>
      </c>
      <c r="F495" s="39">
        <f t="shared" si="108"/>
        <v>2238.8495559215389</v>
      </c>
      <c r="G495" s="46">
        <f t="shared" si="103"/>
        <v>1.06</v>
      </c>
      <c r="H495" s="5">
        <f t="shared" si="109"/>
        <v>304.39999999999998</v>
      </c>
      <c r="I495" s="4"/>
      <c r="J495" s="4">
        <v>0.06</v>
      </c>
      <c r="K495" s="5">
        <f t="shared" si="110"/>
        <v>266.39999999999998</v>
      </c>
      <c r="L495" s="4">
        <v>38</v>
      </c>
      <c r="M495" s="7">
        <f t="shared" si="111"/>
        <v>1.0685585585585584</v>
      </c>
      <c r="N495" s="6"/>
    </row>
    <row r="496" spans="1:14" x14ac:dyDescent="0.25">
      <c r="A496" s="4">
        <v>4450</v>
      </c>
      <c r="B496" s="5">
        <f t="shared" si="104"/>
        <v>4755</v>
      </c>
      <c r="C496" s="5">
        <f t="shared" si="105"/>
        <v>1416.4789935178685</v>
      </c>
      <c r="D496" s="34">
        <f t="shared" si="106"/>
        <v>1428.4789935178685</v>
      </c>
      <c r="E496" s="34">
        <f t="shared" si="107"/>
        <v>4487.6991118430769</v>
      </c>
      <c r="F496" s="39">
        <f t="shared" si="108"/>
        <v>2243.8495559215385</v>
      </c>
      <c r="G496" s="46">
        <f t="shared" si="103"/>
        <v>1.06</v>
      </c>
      <c r="H496" s="5">
        <f t="shared" si="109"/>
        <v>305</v>
      </c>
      <c r="I496" s="4"/>
      <c r="J496" s="4">
        <v>0.06</v>
      </c>
      <c r="K496" s="5">
        <f t="shared" si="110"/>
        <v>267</v>
      </c>
      <c r="L496" s="4">
        <v>38</v>
      </c>
      <c r="M496" s="7">
        <f t="shared" si="111"/>
        <v>1.0685393258426967</v>
      </c>
      <c r="N496" s="6"/>
    </row>
    <row r="497" spans="1:14" x14ac:dyDescent="0.25">
      <c r="A497" s="4">
        <v>4460</v>
      </c>
      <c r="B497" s="5">
        <f t="shared" si="104"/>
        <v>4765.6000000000004</v>
      </c>
      <c r="C497" s="5">
        <f t="shared" si="105"/>
        <v>1419.6620923797063</v>
      </c>
      <c r="D497" s="34">
        <f t="shared" si="106"/>
        <v>1431.6620923797063</v>
      </c>
      <c r="E497" s="34">
        <f t="shared" si="107"/>
        <v>4497.6991118430769</v>
      </c>
      <c r="F497" s="39">
        <f t="shared" si="108"/>
        <v>2248.8495559215385</v>
      </c>
      <c r="G497" s="46">
        <f t="shared" si="103"/>
        <v>1.06</v>
      </c>
      <c r="H497" s="5">
        <f t="shared" si="109"/>
        <v>305.59999999999997</v>
      </c>
      <c r="I497" s="4"/>
      <c r="J497" s="4">
        <v>0.06</v>
      </c>
      <c r="K497" s="5">
        <f t="shared" si="110"/>
        <v>267.59999999999997</v>
      </c>
      <c r="L497" s="4">
        <v>38</v>
      </c>
      <c r="M497" s="7">
        <f t="shared" si="111"/>
        <v>1.0685201793721975</v>
      </c>
      <c r="N497" s="6"/>
    </row>
    <row r="498" spans="1:14" x14ac:dyDescent="0.25">
      <c r="A498" s="4">
        <v>4470</v>
      </c>
      <c r="B498" s="5">
        <f t="shared" si="104"/>
        <v>4776.2</v>
      </c>
      <c r="C498" s="5">
        <f t="shared" si="105"/>
        <v>1422.8451912415444</v>
      </c>
      <c r="D498" s="34">
        <f t="shared" si="106"/>
        <v>1434.8451912415444</v>
      </c>
      <c r="E498" s="34">
        <f t="shared" si="107"/>
        <v>4507.6991118430778</v>
      </c>
      <c r="F498" s="39">
        <f t="shared" si="108"/>
        <v>2253.8495559215389</v>
      </c>
      <c r="G498" s="46">
        <f t="shared" si="103"/>
        <v>1.06</v>
      </c>
      <c r="H498" s="5">
        <f t="shared" si="109"/>
        <v>306.2</v>
      </c>
      <c r="I498" s="4"/>
      <c r="J498" s="4">
        <v>0.06</v>
      </c>
      <c r="K498" s="5">
        <f t="shared" si="110"/>
        <v>268.2</v>
      </c>
      <c r="L498" s="4">
        <v>38</v>
      </c>
      <c r="M498" s="7">
        <f t="shared" si="111"/>
        <v>1.0685011185682327</v>
      </c>
      <c r="N498" s="6"/>
    </row>
    <row r="499" spans="1:14" x14ac:dyDescent="0.25">
      <c r="A499" s="4">
        <v>4480</v>
      </c>
      <c r="B499" s="5">
        <f t="shared" si="104"/>
        <v>4786.8</v>
      </c>
      <c r="C499" s="5">
        <f t="shared" si="105"/>
        <v>1426.0282901033822</v>
      </c>
      <c r="D499" s="34">
        <f t="shared" si="106"/>
        <v>1438.0282901033822</v>
      </c>
      <c r="E499" s="34">
        <f t="shared" si="107"/>
        <v>4517.6991118430778</v>
      </c>
      <c r="F499" s="39">
        <f t="shared" si="108"/>
        <v>2258.8495559215389</v>
      </c>
      <c r="G499" s="46">
        <f t="shared" si="103"/>
        <v>1.06</v>
      </c>
      <c r="H499" s="5">
        <f t="shared" si="109"/>
        <v>306.8</v>
      </c>
      <c r="I499" s="4"/>
      <c r="J499" s="4">
        <v>0.06</v>
      </c>
      <c r="K499" s="5">
        <f t="shared" si="110"/>
        <v>268.8</v>
      </c>
      <c r="L499" s="4">
        <v>38</v>
      </c>
      <c r="M499" s="7">
        <f t="shared" si="111"/>
        <v>1.0684821428571429</v>
      </c>
      <c r="N499" s="6"/>
    </row>
    <row r="500" spans="1:14" x14ac:dyDescent="0.25">
      <c r="A500" s="4">
        <v>4490</v>
      </c>
      <c r="B500" s="5">
        <f t="shared" si="104"/>
        <v>4797.3999999999996</v>
      </c>
      <c r="C500" s="5">
        <f t="shared" si="105"/>
        <v>1429.2113889652201</v>
      </c>
      <c r="D500" s="34">
        <f t="shared" si="106"/>
        <v>1441.2113889652201</v>
      </c>
      <c r="E500" s="34">
        <f t="shared" si="107"/>
        <v>4527.6991118430769</v>
      </c>
      <c r="F500" s="39">
        <f t="shared" si="108"/>
        <v>2263.8495559215385</v>
      </c>
      <c r="G500" s="46">
        <f t="shared" si="103"/>
        <v>1.06</v>
      </c>
      <c r="H500" s="5">
        <f t="shared" si="109"/>
        <v>307.39999999999998</v>
      </c>
      <c r="I500" s="4"/>
      <c r="J500" s="4">
        <v>0.06</v>
      </c>
      <c r="K500" s="5">
        <f t="shared" si="110"/>
        <v>269.39999999999998</v>
      </c>
      <c r="L500" s="4">
        <v>38</v>
      </c>
      <c r="M500" s="7">
        <f t="shared" si="111"/>
        <v>1.0684632516703785</v>
      </c>
      <c r="N500" s="6"/>
    </row>
    <row r="501" spans="1:14" x14ac:dyDescent="0.25">
      <c r="A501" s="4">
        <v>4500</v>
      </c>
      <c r="B501" s="5">
        <f t="shared" si="104"/>
        <v>4808</v>
      </c>
      <c r="C501" s="5">
        <f t="shared" si="105"/>
        <v>1432.3944878270581</v>
      </c>
      <c r="D501" s="34">
        <f t="shared" si="106"/>
        <v>1444.3944878270581</v>
      </c>
      <c r="E501" s="34">
        <f t="shared" si="107"/>
        <v>4537.6991118430778</v>
      </c>
      <c r="F501" s="39">
        <f t="shared" si="108"/>
        <v>2268.8495559215389</v>
      </c>
      <c r="G501" s="46">
        <f t="shared" si="103"/>
        <v>1.06</v>
      </c>
      <c r="H501" s="5">
        <f t="shared" si="109"/>
        <v>308</v>
      </c>
      <c r="I501" s="4"/>
      <c r="J501" s="4">
        <v>0.06</v>
      </c>
      <c r="K501" s="5">
        <f t="shared" si="110"/>
        <v>270</v>
      </c>
      <c r="L501" s="4">
        <v>38</v>
      </c>
      <c r="M501" s="7">
        <f t="shared" si="111"/>
        <v>1.0684444444444445</v>
      </c>
      <c r="N501" s="6"/>
    </row>
    <row r="502" spans="1:14" x14ac:dyDescent="0.25">
      <c r="A502" s="4">
        <v>4510</v>
      </c>
      <c r="B502" s="5">
        <f t="shared" si="104"/>
        <v>4818.6000000000004</v>
      </c>
      <c r="C502" s="5">
        <f t="shared" si="105"/>
        <v>1435.577586688896</v>
      </c>
      <c r="D502" s="34">
        <f t="shared" si="106"/>
        <v>1447.577586688896</v>
      </c>
      <c r="E502" s="34">
        <f t="shared" si="107"/>
        <v>4547.6991118430778</v>
      </c>
      <c r="F502" s="39">
        <f t="shared" si="108"/>
        <v>2273.8495559215389</v>
      </c>
      <c r="G502" s="46">
        <f t="shared" si="103"/>
        <v>1.06</v>
      </c>
      <c r="H502" s="5">
        <f t="shared" si="109"/>
        <v>308.59999999999997</v>
      </c>
      <c r="I502" s="4"/>
      <c r="J502" s="4">
        <v>0.06</v>
      </c>
      <c r="K502" s="5">
        <f t="shared" si="110"/>
        <v>270.59999999999997</v>
      </c>
      <c r="L502" s="4">
        <v>38</v>
      </c>
      <c r="M502" s="7">
        <f t="shared" si="111"/>
        <v>1.0684257206208427</v>
      </c>
      <c r="N502" s="6"/>
    </row>
    <row r="503" spans="1:14" x14ac:dyDescent="0.25">
      <c r="A503" s="4">
        <v>4520</v>
      </c>
      <c r="B503" s="5">
        <f t="shared" si="104"/>
        <v>4829.2</v>
      </c>
      <c r="C503" s="5">
        <f t="shared" si="105"/>
        <v>1438.7606855507338</v>
      </c>
      <c r="D503" s="34">
        <f t="shared" si="106"/>
        <v>1450.7606855507338</v>
      </c>
      <c r="E503" s="34">
        <f t="shared" si="107"/>
        <v>4557.6991118430769</v>
      </c>
      <c r="F503" s="39">
        <f t="shared" si="108"/>
        <v>2278.8495559215385</v>
      </c>
      <c r="G503" s="46">
        <f t="shared" si="103"/>
        <v>1.06</v>
      </c>
      <c r="H503" s="5">
        <f t="shared" si="109"/>
        <v>309.2</v>
      </c>
      <c r="I503" s="4"/>
      <c r="J503" s="4">
        <v>0.06</v>
      </c>
      <c r="K503" s="5">
        <f t="shared" si="110"/>
        <v>271.2</v>
      </c>
      <c r="L503" s="4">
        <v>38</v>
      </c>
      <c r="M503" s="7">
        <f t="shared" si="111"/>
        <v>1.0684070796460177</v>
      </c>
      <c r="N503" s="6"/>
    </row>
    <row r="504" spans="1:14" x14ac:dyDescent="0.25">
      <c r="A504" s="4">
        <v>4530</v>
      </c>
      <c r="B504" s="5">
        <f t="shared" si="104"/>
        <v>4839.8</v>
      </c>
      <c r="C504" s="5">
        <f t="shared" si="105"/>
        <v>1441.9437844125719</v>
      </c>
      <c r="D504" s="34">
        <f t="shared" si="106"/>
        <v>1453.9437844125719</v>
      </c>
      <c r="E504" s="34">
        <f t="shared" si="107"/>
        <v>4567.6991118430778</v>
      </c>
      <c r="F504" s="39">
        <f t="shared" si="108"/>
        <v>2283.8495559215389</v>
      </c>
      <c r="G504" s="46">
        <f t="shared" si="103"/>
        <v>1.06</v>
      </c>
      <c r="H504" s="5">
        <f t="shared" si="109"/>
        <v>309.8</v>
      </c>
      <c r="I504" s="4"/>
      <c r="J504" s="4">
        <v>0.06</v>
      </c>
      <c r="K504" s="5">
        <f t="shared" si="110"/>
        <v>271.8</v>
      </c>
      <c r="L504" s="4">
        <v>38</v>
      </c>
      <c r="M504" s="7">
        <f t="shared" si="111"/>
        <v>1.0683885209713024</v>
      </c>
      <c r="N504" s="6"/>
    </row>
    <row r="505" spans="1:14" x14ac:dyDescent="0.25">
      <c r="A505" s="4">
        <v>4540</v>
      </c>
      <c r="B505" s="5">
        <f t="shared" si="104"/>
        <v>4850.3999999999996</v>
      </c>
      <c r="C505" s="5">
        <f t="shared" si="105"/>
        <v>1445.1268832744097</v>
      </c>
      <c r="D505" s="34">
        <f t="shared" si="106"/>
        <v>1457.1268832744097</v>
      </c>
      <c r="E505" s="34">
        <f t="shared" si="107"/>
        <v>4577.6991118430778</v>
      </c>
      <c r="F505" s="39">
        <f t="shared" si="108"/>
        <v>2288.8495559215389</v>
      </c>
      <c r="G505" s="46">
        <f t="shared" si="103"/>
        <v>1.06</v>
      </c>
      <c r="H505" s="5">
        <f t="shared" si="109"/>
        <v>310.39999999999998</v>
      </c>
      <c r="I505" s="4"/>
      <c r="J505" s="4">
        <v>0.06</v>
      </c>
      <c r="K505" s="5">
        <f t="shared" si="110"/>
        <v>272.39999999999998</v>
      </c>
      <c r="L505" s="4">
        <v>38</v>
      </c>
      <c r="M505" s="7">
        <f t="shared" si="111"/>
        <v>1.0683700440528634</v>
      </c>
      <c r="N505" s="6"/>
    </row>
    <row r="506" spans="1:14" x14ac:dyDescent="0.25">
      <c r="A506" s="4">
        <v>4550</v>
      </c>
      <c r="B506" s="5">
        <f t="shared" si="104"/>
        <v>4861</v>
      </c>
      <c r="C506" s="5">
        <f t="shared" si="105"/>
        <v>1448.3099821362475</v>
      </c>
      <c r="D506" s="34">
        <f t="shared" si="106"/>
        <v>1460.3099821362475</v>
      </c>
      <c r="E506" s="34">
        <f t="shared" si="107"/>
        <v>4587.6991118430769</v>
      </c>
      <c r="F506" s="39">
        <f t="shared" si="108"/>
        <v>2293.8495559215385</v>
      </c>
      <c r="G506" s="46">
        <f t="shared" si="103"/>
        <v>1.06</v>
      </c>
      <c r="H506" s="5">
        <f t="shared" si="109"/>
        <v>311</v>
      </c>
      <c r="I506" s="4"/>
      <c r="J506" s="4">
        <v>0.06</v>
      </c>
      <c r="K506" s="5">
        <f t="shared" si="110"/>
        <v>273</v>
      </c>
      <c r="L506" s="4">
        <v>38</v>
      </c>
      <c r="M506" s="7">
        <f t="shared" si="111"/>
        <v>1.0683516483516484</v>
      </c>
      <c r="N506" s="6"/>
    </row>
    <row r="507" spans="1:14" x14ac:dyDescent="0.25">
      <c r="A507" s="4">
        <v>4560</v>
      </c>
      <c r="B507" s="5">
        <f t="shared" si="104"/>
        <v>4871.6000000000004</v>
      </c>
      <c r="C507" s="5">
        <f t="shared" si="105"/>
        <v>1451.4930809980856</v>
      </c>
      <c r="D507" s="34">
        <f t="shared" si="106"/>
        <v>1463.4930809980856</v>
      </c>
      <c r="E507" s="34">
        <f t="shared" si="107"/>
        <v>4597.6991118430778</v>
      </c>
      <c r="F507" s="39">
        <f t="shared" si="108"/>
        <v>2298.8495559215389</v>
      </c>
      <c r="G507" s="46">
        <f t="shared" si="103"/>
        <v>1.06</v>
      </c>
      <c r="H507" s="5">
        <f t="shared" si="109"/>
        <v>311.59999999999997</v>
      </c>
      <c r="I507" s="4"/>
      <c r="J507" s="4">
        <v>0.06</v>
      </c>
      <c r="K507" s="5">
        <f t="shared" si="110"/>
        <v>273.59999999999997</v>
      </c>
      <c r="L507" s="4">
        <v>38</v>
      </c>
      <c r="M507" s="7">
        <f t="shared" si="111"/>
        <v>1.0683333333333334</v>
      </c>
      <c r="N507" s="6"/>
    </row>
    <row r="508" spans="1:14" x14ac:dyDescent="0.25">
      <c r="A508" s="4">
        <v>4570</v>
      </c>
      <c r="B508" s="5">
        <f t="shared" si="104"/>
        <v>4882.2</v>
      </c>
      <c r="C508" s="5">
        <f t="shared" si="105"/>
        <v>1454.6761798599234</v>
      </c>
      <c r="D508" s="34">
        <f t="shared" si="106"/>
        <v>1466.6761798599234</v>
      </c>
      <c r="E508" s="34">
        <f t="shared" si="107"/>
        <v>4607.6991118430778</v>
      </c>
      <c r="F508" s="39">
        <f t="shared" si="108"/>
        <v>2303.8495559215389</v>
      </c>
      <c r="G508" s="46">
        <f t="shared" si="103"/>
        <v>1.06</v>
      </c>
      <c r="H508" s="5">
        <f t="shared" si="109"/>
        <v>312.2</v>
      </c>
      <c r="I508" s="4"/>
      <c r="J508" s="4">
        <v>0.06</v>
      </c>
      <c r="K508" s="5">
        <f t="shared" si="110"/>
        <v>274.2</v>
      </c>
      <c r="L508" s="4">
        <v>38</v>
      </c>
      <c r="M508" s="7">
        <f t="shared" si="111"/>
        <v>1.0683150984682712</v>
      </c>
      <c r="N508" s="6"/>
    </row>
    <row r="509" spans="1:14" x14ac:dyDescent="0.25">
      <c r="A509" s="4">
        <v>4580</v>
      </c>
      <c r="B509" s="5">
        <f t="shared" si="104"/>
        <v>4892.8</v>
      </c>
      <c r="C509" s="5">
        <f t="shared" si="105"/>
        <v>1457.8592787217613</v>
      </c>
      <c r="D509" s="34">
        <f t="shared" si="106"/>
        <v>1469.8592787217613</v>
      </c>
      <c r="E509" s="34">
        <f t="shared" si="107"/>
        <v>4617.6991118430769</v>
      </c>
      <c r="F509" s="39">
        <f t="shared" si="108"/>
        <v>2308.8495559215385</v>
      </c>
      <c r="G509" s="46">
        <f t="shared" si="103"/>
        <v>1.06</v>
      </c>
      <c r="H509" s="5">
        <f t="shared" si="109"/>
        <v>312.8</v>
      </c>
      <c r="I509" s="4"/>
      <c r="J509" s="4">
        <v>0.06</v>
      </c>
      <c r="K509" s="5">
        <f t="shared" si="110"/>
        <v>274.8</v>
      </c>
      <c r="L509" s="4">
        <v>38</v>
      </c>
      <c r="M509" s="7">
        <f t="shared" si="111"/>
        <v>1.0682969432314411</v>
      </c>
      <c r="N509" s="6"/>
    </row>
    <row r="510" spans="1:14" x14ac:dyDescent="0.25">
      <c r="A510" s="4">
        <v>4590</v>
      </c>
      <c r="B510" s="5">
        <f t="shared" si="104"/>
        <v>4903.3999999999996</v>
      </c>
      <c r="C510" s="5">
        <f t="shared" si="105"/>
        <v>1461.0423775835993</v>
      </c>
      <c r="D510" s="34">
        <f t="shared" si="106"/>
        <v>1473.0423775835993</v>
      </c>
      <c r="E510" s="34">
        <f t="shared" si="107"/>
        <v>4627.6991118430778</v>
      </c>
      <c r="F510" s="39">
        <f t="shared" si="108"/>
        <v>2313.8495559215389</v>
      </c>
      <c r="G510" s="46">
        <f t="shared" si="103"/>
        <v>1.06</v>
      </c>
      <c r="H510" s="5">
        <f t="shared" si="109"/>
        <v>313.39999999999998</v>
      </c>
      <c r="I510" s="4"/>
      <c r="J510" s="4">
        <v>0.06</v>
      </c>
      <c r="K510" s="5">
        <f t="shared" si="110"/>
        <v>275.39999999999998</v>
      </c>
      <c r="L510" s="4">
        <v>38</v>
      </c>
      <c r="M510" s="7">
        <f t="shared" si="111"/>
        <v>1.0682788671023964</v>
      </c>
      <c r="N510" s="6"/>
    </row>
    <row r="511" spans="1:14" x14ac:dyDescent="0.25">
      <c r="A511" s="4">
        <v>4600</v>
      </c>
      <c r="B511" s="5">
        <f t="shared" si="104"/>
        <v>4914</v>
      </c>
      <c r="C511" s="5">
        <f t="shared" si="105"/>
        <v>1464.2254764454372</v>
      </c>
      <c r="D511" s="34">
        <f t="shared" si="106"/>
        <v>1476.2254764454372</v>
      </c>
      <c r="E511" s="34">
        <f t="shared" si="107"/>
        <v>4637.6991118430778</v>
      </c>
      <c r="F511" s="39">
        <f t="shared" si="108"/>
        <v>2318.8495559215389</v>
      </c>
      <c r="G511" s="46">
        <f t="shared" si="103"/>
        <v>1.06</v>
      </c>
      <c r="H511" s="5">
        <f t="shared" si="109"/>
        <v>314</v>
      </c>
      <c r="I511" s="4"/>
      <c r="J511" s="4">
        <v>0.06</v>
      </c>
      <c r="K511" s="5">
        <f t="shared" si="110"/>
        <v>276</v>
      </c>
      <c r="L511" s="4">
        <v>38</v>
      </c>
      <c r="M511" s="7">
        <f t="shared" si="111"/>
        <v>1.0682608695652174</v>
      </c>
      <c r="N511" s="6"/>
    </row>
    <row r="512" spans="1:14" x14ac:dyDescent="0.25">
      <c r="A512" s="4">
        <v>4610</v>
      </c>
      <c r="B512" s="5">
        <f t="shared" si="104"/>
        <v>4924.6000000000004</v>
      </c>
      <c r="C512" s="5">
        <f t="shared" si="105"/>
        <v>1467.408575307275</v>
      </c>
      <c r="D512" s="34">
        <f t="shared" si="106"/>
        <v>1479.408575307275</v>
      </c>
      <c r="E512" s="34">
        <f t="shared" si="107"/>
        <v>4647.6991118430769</v>
      </c>
      <c r="F512" s="39">
        <f t="shared" si="108"/>
        <v>2323.8495559215385</v>
      </c>
      <c r="G512" s="46">
        <f t="shared" si="103"/>
        <v>1.06</v>
      </c>
      <c r="H512" s="5">
        <f t="shared" si="109"/>
        <v>314.59999999999997</v>
      </c>
      <c r="I512" s="4"/>
      <c r="J512" s="4">
        <v>0.06</v>
      </c>
      <c r="K512" s="5">
        <f t="shared" si="110"/>
        <v>276.59999999999997</v>
      </c>
      <c r="L512" s="4">
        <v>38</v>
      </c>
      <c r="M512" s="7">
        <f t="shared" si="111"/>
        <v>1.06824295010846</v>
      </c>
      <c r="N512" s="6"/>
    </row>
    <row r="513" spans="1:14" x14ac:dyDescent="0.25">
      <c r="A513" s="4">
        <v>4620</v>
      </c>
      <c r="B513" s="5">
        <f t="shared" si="104"/>
        <v>4935.2</v>
      </c>
      <c r="C513" s="5">
        <f t="shared" si="105"/>
        <v>1470.591674169113</v>
      </c>
      <c r="D513" s="34">
        <f t="shared" si="106"/>
        <v>1482.591674169113</v>
      </c>
      <c r="E513" s="34">
        <f t="shared" si="107"/>
        <v>4657.6991118430778</v>
      </c>
      <c r="F513" s="39">
        <f t="shared" si="108"/>
        <v>2328.8495559215389</v>
      </c>
      <c r="G513" s="46">
        <f t="shared" si="103"/>
        <v>1.06</v>
      </c>
      <c r="H513" s="5">
        <f t="shared" si="109"/>
        <v>315.2</v>
      </c>
      <c r="I513" s="4"/>
      <c r="J513" s="4">
        <v>0.06</v>
      </c>
      <c r="K513" s="5">
        <f t="shared" si="110"/>
        <v>277.2</v>
      </c>
      <c r="L513" s="4">
        <v>38</v>
      </c>
      <c r="M513" s="7">
        <f t="shared" si="111"/>
        <v>1.0682251082251082</v>
      </c>
      <c r="N513" s="6"/>
    </row>
    <row r="514" spans="1:14" x14ac:dyDescent="0.25">
      <c r="A514" s="4">
        <v>4630</v>
      </c>
      <c r="B514" s="5">
        <f t="shared" si="104"/>
        <v>4945.8</v>
      </c>
      <c r="C514" s="5">
        <f t="shared" si="105"/>
        <v>1473.7747730309509</v>
      </c>
      <c r="D514" s="34">
        <f t="shared" si="106"/>
        <v>1485.7747730309509</v>
      </c>
      <c r="E514" s="34">
        <f t="shared" si="107"/>
        <v>4667.6991118430778</v>
      </c>
      <c r="F514" s="39">
        <f t="shared" si="108"/>
        <v>2333.8495559215389</v>
      </c>
      <c r="G514" s="46">
        <f t="shared" si="103"/>
        <v>1.06</v>
      </c>
      <c r="H514" s="5">
        <f t="shared" si="109"/>
        <v>315.8</v>
      </c>
      <c r="I514" s="4"/>
      <c r="J514" s="4">
        <v>0.06</v>
      </c>
      <c r="K514" s="5">
        <f t="shared" si="110"/>
        <v>277.8</v>
      </c>
      <c r="L514" s="4">
        <v>38</v>
      </c>
      <c r="M514" s="7">
        <f t="shared" si="111"/>
        <v>1.068207343412527</v>
      </c>
      <c r="N514" s="6"/>
    </row>
    <row r="515" spans="1:14" x14ac:dyDescent="0.25">
      <c r="A515" s="4">
        <v>4640</v>
      </c>
      <c r="B515" s="5">
        <f t="shared" si="104"/>
        <v>4956.3999999999996</v>
      </c>
      <c r="C515" s="5">
        <f t="shared" si="105"/>
        <v>1476.9578718927887</v>
      </c>
      <c r="D515" s="34">
        <f t="shared" si="106"/>
        <v>1488.9578718927887</v>
      </c>
      <c r="E515" s="34">
        <f t="shared" si="107"/>
        <v>4677.6991118430769</v>
      </c>
      <c r="F515" s="39">
        <f t="shared" si="108"/>
        <v>2338.8495559215385</v>
      </c>
      <c r="G515" s="46">
        <f t="shared" si="103"/>
        <v>1.06</v>
      </c>
      <c r="H515" s="5">
        <f t="shared" si="109"/>
        <v>316.39999999999998</v>
      </c>
      <c r="I515" s="4"/>
      <c r="J515" s="4">
        <v>0.06</v>
      </c>
      <c r="K515" s="5">
        <f t="shared" si="110"/>
        <v>278.39999999999998</v>
      </c>
      <c r="L515" s="4">
        <v>38</v>
      </c>
      <c r="M515" s="7">
        <f t="shared" si="111"/>
        <v>1.0681896551724137</v>
      </c>
      <c r="N515" s="6"/>
    </row>
    <row r="516" spans="1:14" x14ac:dyDescent="0.25">
      <c r="A516" s="4">
        <v>4650</v>
      </c>
      <c r="B516" s="5">
        <f t="shared" si="104"/>
        <v>4967</v>
      </c>
      <c r="C516" s="5">
        <f t="shared" si="105"/>
        <v>1480.1409707546268</v>
      </c>
      <c r="D516" s="34">
        <f t="shared" si="106"/>
        <v>1492.1409707546268</v>
      </c>
      <c r="E516" s="34">
        <f t="shared" si="107"/>
        <v>4687.6991118430778</v>
      </c>
      <c r="F516" s="39">
        <f t="shared" si="108"/>
        <v>2343.8495559215389</v>
      </c>
      <c r="G516" s="46">
        <f t="shared" si="103"/>
        <v>1.06</v>
      </c>
      <c r="H516" s="5">
        <f t="shared" si="109"/>
        <v>317</v>
      </c>
      <c r="I516" s="4"/>
      <c r="J516" s="4">
        <v>0.06</v>
      </c>
      <c r="K516" s="5">
        <f t="shared" si="110"/>
        <v>279</v>
      </c>
      <c r="L516" s="4">
        <v>38</v>
      </c>
      <c r="M516" s="7">
        <f t="shared" si="111"/>
        <v>1.0681720430107526</v>
      </c>
      <c r="N516" s="6"/>
    </row>
    <row r="517" spans="1:14" x14ac:dyDescent="0.25">
      <c r="A517" s="4">
        <v>4660</v>
      </c>
      <c r="B517" s="5">
        <f t="shared" si="104"/>
        <v>4977.6000000000004</v>
      </c>
      <c r="C517" s="5">
        <f t="shared" si="105"/>
        <v>1483.3240696164646</v>
      </c>
      <c r="D517" s="34">
        <f t="shared" si="106"/>
        <v>1495.3240696164646</v>
      </c>
      <c r="E517" s="34">
        <f t="shared" si="107"/>
        <v>4697.6991118430778</v>
      </c>
      <c r="F517" s="39">
        <f t="shared" si="108"/>
        <v>2348.8495559215389</v>
      </c>
      <c r="G517" s="46">
        <f t="shared" si="103"/>
        <v>1.06</v>
      </c>
      <c r="H517" s="5">
        <f t="shared" si="109"/>
        <v>317.59999999999997</v>
      </c>
      <c r="I517" s="4"/>
      <c r="J517" s="4">
        <v>0.06</v>
      </c>
      <c r="K517" s="5">
        <f t="shared" si="110"/>
        <v>279.59999999999997</v>
      </c>
      <c r="L517" s="4">
        <v>38</v>
      </c>
      <c r="M517" s="7">
        <f t="shared" si="111"/>
        <v>1.0681545064377682</v>
      </c>
      <c r="N517" s="6"/>
    </row>
    <row r="518" spans="1:14" x14ac:dyDescent="0.25">
      <c r="A518" s="4">
        <v>4670</v>
      </c>
      <c r="B518" s="5">
        <f t="shared" si="104"/>
        <v>4988.2</v>
      </c>
      <c r="C518" s="5">
        <f t="shared" si="105"/>
        <v>1486.5071684783024</v>
      </c>
      <c r="D518" s="34">
        <f t="shared" si="106"/>
        <v>1498.5071684783024</v>
      </c>
      <c r="E518" s="34">
        <f t="shared" si="107"/>
        <v>4707.6991118430769</v>
      </c>
      <c r="F518" s="39">
        <f t="shared" si="108"/>
        <v>2353.8495559215385</v>
      </c>
      <c r="G518" s="46">
        <f t="shared" ref="G518:G581" si="112">ROUNDUP(B518/E518,2)</f>
        <v>1.06</v>
      </c>
      <c r="H518" s="5">
        <f t="shared" si="109"/>
        <v>318.2</v>
      </c>
      <c r="I518" s="4"/>
      <c r="J518" s="4">
        <v>0.06</v>
      </c>
      <c r="K518" s="5">
        <f t="shared" si="110"/>
        <v>280.2</v>
      </c>
      <c r="L518" s="4">
        <v>38</v>
      </c>
      <c r="M518" s="7">
        <f t="shared" si="111"/>
        <v>1.06813704496788</v>
      </c>
      <c r="N518" s="6"/>
    </row>
    <row r="519" spans="1:14" x14ac:dyDescent="0.25">
      <c r="A519" s="4">
        <v>4680</v>
      </c>
      <c r="B519" s="5">
        <f t="shared" si="104"/>
        <v>4998.8</v>
      </c>
      <c r="C519" s="5">
        <f t="shared" si="105"/>
        <v>1489.6902673401405</v>
      </c>
      <c r="D519" s="34">
        <f t="shared" si="106"/>
        <v>1501.6902673401405</v>
      </c>
      <c r="E519" s="34">
        <f t="shared" si="107"/>
        <v>4717.6991118430778</v>
      </c>
      <c r="F519" s="39">
        <f t="shared" si="108"/>
        <v>2358.8495559215389</v>
      </c>
      <c r="G519" s="46">
        <f t="shared" si="112"/>
        <v>1.06</v>
      </c>
      <c r="H519" s="5">
        <f t="shared" si="109"/>
        <v>318.8</v>
      </c>
      <c r="I519" s="4"/>
      <c r="J519" s="4">
        <v>0.06</v>
      </c>
      <c r="K519" s="5">
        <f t="shared" si="110"/>
        <v>280.8</v>
      </c>
      <c r="L519" s="4">
        <v>38</v>
      </c>
      <c r="M519" s="7">
        <f t="shared" si="111"/>
        <v>1.0681196581196581</v>
      </c>
      <c r="N519" s="6"/>
    </row>
    <row r="520" spans="1:14" x14ac:dyDescent="0.25">
      <c r="A520" s="4">
        <v>4690</v>
      </c>
      <c r="B520" s="5">
        <f t="shared" si="104"/>
        <v>5009.3999999999996</v>
      </c>
      <c r="C520" s="5">
        <f t="shared" si="105"/>
        <v>1492.8733662019783</v>
      </c>
      <c r="D520" s="34">
        <f t="shared" si="106"/>
        <v>1504.8733662019783</v>
      </c>
      <c r="E520" s="34">
        <f t="shared" si="107"/>
        <v>4727.6991118430778</v>
      </c>
      <c r="F520" s="39">
        <f t="shared" si="108"/>
        <v>2363.8495559215389</v>
      </c>
      <c r="G520" s="46">
        <f t="shared" si="112"/>
        <v>1.06</v>
      </c>
      <c r="H520" s="5">
        <f t="shared" si="109"/>
        <v>319.39999999999998</v>
      </c>
      <c r="I520" s="4"/>
      <c r="J520" s="4">
        <v>0.06</v>
      </c>
      <c r="K520" s="5">
        <f t="shared" si="110"/>
        <v>281.39999999999998</v>
      </c>
      <c r="L520" s="4">
        <v>38</v>
      </c>
      <c r="M520" s="7">
        <f t="shared" si="111"/>
        <v>1.0681023454157781</v>
      </c>
      <c r="N520" s="6"/>
    </row>
    <row r="521" spans="1:14" x14ac:dyDescent="0.25">
      <c r="A521" s="4">
        <v>4700</v>
      </c>
      <c r="B521" s="5">
        <f t="shared" si="104"/>
        <v>5020</v>
      </c>
      <c r="C521" s="5">
        <f t="shared" si="105"/>
        <v>1496.0564650638162</v>
      </c>
      <c r="D521" s="34">
        <f t="shared" si="106"/>
        <v>1508.0564650638162</v>
      </c>
      <c r="E521" s="34">
        <f t="shared" si="107"/>
        <v>4737.6991118430778</v>
      </c>
      <c r="F521" s="39">
        <f t="shared" si="108"/>
        <v>2368.8495559215389</v>
      </c>
      <c r="G521" s="46">
        <f t="shared" si="112"/>
        <v>1.06</v>
      </c>
      <c r="H521" s="5">
        <f t="shared" si="109"/>
        <v>320</v>
      </c>
      <c r="I521" s="4"/>
      <c r="J521" s="4">
        <v>0.06</v>
      </c>
      <c r="K521" s="5">
        <f t="shared" si="110"/>
        <v>282</v>
      </c>
      <c r="L521" s="4">
        <v>38</v>
      </c>
      <c r="M521" s="7">
        <f t="shared" si="111"/>
        <v>1.0680851063829788</v>
      </c>
      <c r="N521" s="6"/>
    </row>
    <row r="522" spans="1:14" x14ac:dyDescent="0.25">
      <c r="A522" s="4">
        <v>4710</v>
      </c>
      <c r="B522" s="5">
        <f t="shared" si="104"/>
        <v>5030.6000000000004</v>
      </c>
      <c r="C522" s="5">
        <f t="shared" si="105"/>
        <v>1499.239563925654</v>
      </c>
      <c r="D522" s="34">
        <f t="shared" si="106"/>
        <v>1511.239563925654</v>
      </c>
      <c r="E522" s="34">
        <f t="shared" si="107"/>
        <v>4747.6991118430769</v>
      </c>
      <c r="F522" s="39">
        <f t="shared" si="108"/>
        <v>2373.8495559215385</v>
      </c>
      <c r="G522" s="46">
        <f t="shared" si="112"/>
        <v>1.06</v>
      </c>
      <c r="H522" s="5">
        <f t="shared" si="109"/>
        <v>320.59999999999997</v>
      </c>
      <c r="I522" s="4"/>
      <c r="J522" s="4">
        <v>0.06</v>
      </c>
      <c r="K522" s="5">
        <f t="shared" si="110"/>
        <v>282.59999999999997</v>
      </c>
      <c r="L522" s="4">
        <v>38</v>
      </c>
      <c r="M522" s="7">
        <f t="shared" si="111"/>
        <v>1.068067940552017</v>
      </c>
      <c r="N522" s="6"/>
    </row>
    <row r="523" spans="1:14" x14ac:dyDescent="0.25">
      <c r="A523" s="4">
        <v>4720</v>
      </c>
      <c r="B523" s="5">
        <f t="shared" si="104"/>
        <v>5041.2</v>
      </c>
      <c r="C523" s="5">
        <f t="shared" si="105"/>
        <v>1502.4226627874921</v>
      </c>
      <c r="D523" s="34">
        <f t="shared" si="106"/>
        <v>1514.4226627874921</v>
      </c>
      <c r="E523" s="34">
        <f t="shared" si="107"/>
        <v>4757.6991118430778</v>
      </c>
      <c r="F523" s="39">
        <f t="shared" si="108"/>
        <v>2378.8495559215389</v>
      </c>
      <c r="G523" s="46">
        <f t="shared" si="112"/>
        <v>1.06</v>
      </c>
      <c r="H523" s="5">
        <f t="shared" si="109"/>
        <v>321.2</v>
      </c>
      <c r="I523" s="4"/>
      <c r="J523" s="4">
        <v>0.06</v>
      </c>
      <c r="K523" s="5">
        <f t="shared" si="110"/>
        <v>283.2</v>
      </c>
      <c r="L523" s="4">
        <v>38</v>
      </c>
      <c r="M523" s="7">
        <f t="shared" si="111"/>
        <v>1.0680508474576271</v>
      </c>
      <c r="N523" s="6"/>
    </row>
    <row r="524" spans="1:14" x14ac:dyDescent="0.25">
      <c r="A524" s="4">
        <v>4730</v>
      </c>
      <c r="B524" s="5">
        <f t="shared" si="104"/>
        <v>5051.8</v>
      </c>
      <c r="C524" s="5">
        <f t="shared" si="105"/>
        <v>1505.6057616493299</v>
      </c>
      <c r="D524" s="34">
        <f t="shared" si="106"/>
        <v>1517.6057616493299</v>
      </c>
      <c r="E524" s="34">
        <f t="shared" si="107"/>
        <v>4767.6991118430778</v>
      </c>
      <c r="F524" s="39">
        <f t="shared" si="108"/>
        <v>2383.8495559215389</v>
      </c>
      <c r="G524" s="46">
        <f t="shared" si="112"/>
        <v>1.06</v>
      </c>
      <c r="H524" s="5">
        <f t="shared" si="109"/>
        <v>321.8</v>
      </c>
      <c r="I524" s="4"/>
      <c r="J524" s="4">
        <v>0.06</v>
      </c>
      <c r="K524" s="5">
        <f t="shared" si="110"/>
        <v>283.8</v>
      </c>
      <c r="L524" s="4">
        <v>38</v>
      </c>
      <c r="M524" s="7">
        <f t="shared" si="111"/>
        <v>1.0680338266384779</v>
      </c>
      <c r="N524" s="6"/>
    </row>
    <row r="525" spans="1:14" x14ac:dyDescent="0.25">
      <c r="A525" s="4">
        <v>4740</v>
      </c>
      <c r="B525" s="5">
        <f t="shared" si="104"/>
        <v>5062.3999999999996</v>
      </c>
      <c r="C525" s="5">
        <f t="shared" si="105"/>
        <v>1508.7888605111677</v>
      </c>
      <c r="D525" s="34">
        <f t="shared" si="106"/>
        <v>1520.7888605111677</v>
      </c>
      <c r="E525" s="34">
        <f t="shared" si="107"/>
        <v>4777.6991118430769</v>
      </c>
      <c r="F525" s="39">
        <f t="shared" si="108"/>
        <v>2388.8495559215385</v>
      </c>
      <c r="G525" s="46">
        <f t="shared" si="112"/>
        <v>1.06</v>
      </c>
      <c r="H525" s="5">
        <f t="shared" si="109"/>
        <v>322.39999999999998</v>
      </c>
      <c r="I525" s="4"/>
      <c r="J525" s="4">
        <v>0.06</v>
      </c>
      <c r="K525" s="5">
        <f t="shared" si="110"/>
        <v>284.39999999999998</v>
      </c>
      <c r="L525" s="4">
        <v>38</v>
      </c>
      <c r="M525" s="7">
        <f t="shared" si="111"/>
        <v>1.0680168776371308</v>
      </c>
      <c r="N525" s="6"/>
    </row>
    <row r="526" spans="1:14" x14ac:dyDescent="0.25">
      <c r="A526" s="4">
        <v>4750</v>
      </c>
      <c r="B526" s="5">
        <f t="shared" si="104"/>
        <v>5073</v>
      </c>
      <c r="C526" s="5">
        <f t="shared" si="105"/>
        <v>1511.9719593730058</v>
      </c>
      <c r="D526" s="34">
        <f t="shared" si="106"/>
        <v>1523.9719593730058</v>
      </c>
      <c r="E526" s="34">
        <f t="shared" si="107"/>
        <v>4787.6991118430778</v>
      </c>
      <c r="F526" s="39">
        <f t="shared" si="108"/>
        <v>2393.8495559215389</v>
      </c>
      <c r="G526" s="46">
        <f t="shared" si="112"/>
        <v>1.06</v>
      </c>
      <c r="H526" s="5">
        <f t="shared" si="109"/>
        <v>323</v>
      </c>
      <c r="I526" s="4"/>
      <c r="J526" s="4">
        <v>0.06</v>
      </c>
      <c r="K526" s="5">
        <f t="shared" si="110"/>
        <v>285</v>
      </c>
      <c r="L526" s="4">
        <v>38</v>
      </c>
      <c r="M526" s="7">
        <f t="shared" si="111"/>
        <v>1.0680000000000001</v>
      </c>
      <c r="N526" s="6"/>
    </row>
    <row r="527" spans="1:14" x14ac:dyDescent="0.25">
      <c r="A527" s="4">
        <v>4760</v>
      </c>
      <c r="B527" s="5">
        <f t="shared" si="104"/>
        <v>5083.6000000000004</v>
      </c>
      <c r="C527" s="5">
        <f t="shared" si="105"/>
        <v>1515.1550582348436</v>
      </c>
      <c r="D527" s="34">
        <f t="shared" si="106"/>
        <v>1527.1550582348436</v>
      </c>
      <c r="E527" s="34">
        <f t="shared" si="107"/>
        <v>4797.6991118430778</v>
      </c>
      <c r="F527" s="39">
        <f t="shared" si="108"/>
        <v>2398.8495559215389</v>
      </c>
      <c r="G527" s="46">
        <f t="shared" si="112"/>
        <v>1.06</v>
      </c>
      <c r="H527" s="5">
        <f t="shared" si="109"/>
        <v>323.59999999999997</v>
      </c>
      <c r="I527" s="4"/>
      <c r="J527" s="4">
        <v>0.06</v>
      </c>
      <c r="K527" s="5">
        <f t="shared" si="110"/>
        <v>285.59999999999997</v>
      </c>
      <c r="L527" s="4">
        <v>38</v>
      </c>
      <c r="M527" s="7">
        <f t="shared" si="111"/>
        <v>1.0679831932773109</v>
      </c>
      <c r="N527" s="6"/>
    </row>
    <row r="528" spans="1:14" x14ac:dyDescent="0.25">
      <c r="A528" s="4">
        <v>4770</v>
      </c>
      <c r="B528" s="5">
        <f t="shared" si="104"/>
        <v>5094.2</v>
      </c>
      <c r="C528" s="5">
        <f t="shared" si="105"/>
        <v>1518.3381570966815</v>
      </c>
      <c r="D528" s="34">
        <f t="shared" si="106"/>
        <v>1530.3381570966815</v>
      </c>
      <c r="E528" s="34">
        <f t="shared" si="107"/>
        <v>4807.6991118430769</v>
      </c>
      <c r="F528" s="39">
        <f t="shared" si="108"/>
        <v>2403.8495559215385</v>
      </c>
      <c r="G528" s="46">
        <f t="shared" si="112"/>
        <v>1.06</v>
      </c>
      <c r="H528" s="5">
        <f t="shared" si="109"/>
        <v>324.2</v>
      </c>
      <c r="I528" s="4"/>
      <c r="J528" s="4">
        <v>0.06</v>
      </c>
      <c r="K528" s="5">
        <f t="shared" si="110"/>
        <v>286.2</v>
      </c>
      <c r="L528" s="4">
        <v>38</v>
      </c>
      <c r="M528" s="7">
        <f t="shared" si="111"/>
        <v>1.0679664570230607</v>
      </c>
      <c r="N528" s="6"/>
    </row>
    <row r="529" spans="1:14" x14ac:dyDescent="0.25">
      <c r="A529" s="4">
        <v>4780</v>
      </c>
      <c r="B529" s="5">
        <f t="shared" si="104"/>
        <v>5104.8</v>
      </c>
      <c r="C529" s="5">
        <f t="shared" si="105"/>
        <v>1521.5212559585195</v>
      </c>
      <c r="D529" s="34">
        <f t="shared" si="106"/>
        <v>1533.5212559585195</v>
      </c>
      <c r="E529" s="34">
        <f t="shared" si="107"/>
        <v>4817.6991118430778</v>
      </c>
      <c r="F529" s="39">
        <f t="shared" si="108"/>
        <v>2408.8495559215389</v>
      </c>
      <c r="G529" s="46">
        <f t="shared" si="112"/>
        <v>1.06</v>
      </c>
      <c r="H529" s="5">
        <f t="shared" si="109"/>
        <v>324.8</v>
      </c>
      <c r="I529" s="4"/>
      <c r="J529" s="4">
        <v>0.06</v>
      </c>
      <c r="K529" s="5">
        <f t="shared" si="110"/>
        <v>286.8</v>
      </c>
      <c r="L529" s="4">
        <v>38</v>
      </c>
      <c r="M529" s="7">
        <f t="shared" si="111"/>
        <v>1.0679497907949791</v>
      </c>
      <c r="N529" s="6"/>
    </row>
    <row r="530" spans="1:14" x14ac:dyDescent="0.25">
      <c r="A530" s="4">
        <v>4790</v>
      </c>
      <c r="B530" s="5">
        <f t="shared" si="104"/>
        <v>5115.3999999999996</v>
      </c>
      <c r="C530" s="5">
        <f t="shared" si="105"/>
        <v>1524.7043548203574</v>
      </c>
      <c r="D530" s="34">
        <f t="shared" si="106"/>
        <v>1536.7043548203574</v>
      </c>
      <c r="E530" s="34">
        <f t="shared" si="107"/>
        <v>4827.6991118430778</v>
      </c>
      <c r="F530" s="39">
        <f t="shared" si="108"/>
        <v>2413.8495559215389</v>
      </c>
      <c r="G530" s="46">
        <f t="shared" si="112"/>
        <v>1.06</v>
      </c>
      <c r="H530" s="5">
        <f t="shared" si="109"/>
        <v>325.39999999999998</v>
      </c>
      <c r="I530" s="4"/>
      <c r="J530" s="4">
        <v>0.06</v>
      </c>
      <c r="K530" s="5">
        <f t="shared" si="110"/>
        <v>287.39999999999998</v>
      </c>
      <c r="L530" s="4">
        <v>38</v>
      </c>
      <c r="M530" s="7">
        <f t="shared" si="111"/>
        <v>1.0679331941544885</v>
      </c>
      <c r="N530" s="6"/>
    </row>
    <row r="531" spans="1:14" x14ac:dyDescent="0.25">
      <c r="A531" s="4">
        <v>4800</v>
      </c>
      <c r="B531" s="5">
        <f t="shared" si="104"/>
        <v>5126</v>
      </c>
      <c r="C531" s="5">
        <f t="shared" si="105"/>
        <v>1527.8874536821952</v>
      </c>
      <c r="D531" s="34">
        <f t="shared" si="106"/>
        <v>1539.8874536821952</v>
      </c>
      <c r="E531" s="34">
        <f t="shared" si="107"/>
        <v>4837.6991118430769</v>
      </c>
      <c r="F531" s="39">
        <f t="shared" si="108"/>
        <v>2418.8495559215385</v>
      </c>
      <c r="G531" s="46">
        <f t="shared" si="112"/>
        <v>1.06</v>
      </c>
      <c r="H531" s="5">
        <f t="shared" si="109"/>
        <v>326</v>
      </c>
      <c r="I531" s="4"/>
      <c r="J531" s="4">
        <v>0.06</v>
      </c>
      <c r="K531" s="5">
        <f t="shared" si="110"/>
        <v>288</v>
      </c>
      <c r="L531" s="4">
        <v>38</v>
      </c>
      <c r="M531" s="7">
        <f t="shared" si="111"/>
        <v>1.0679166666666666</v>
      </c>
      <c r="N531" s="6"/>
    </row>
    <row r="532" spans="1:14" x14ac:dyDescent="0.25">
      <c r="A532" s="4">
        <v>4810</v>
      </c>
      <c r="B532" s="5">
        <f t="shared" si="104"/>
        <v>5136.6000000000004</v>
      </c>
      <c r="C532" s="5">
        <f t="shared" si="105"/>
        <v>1531.0705525440333</v>
      </c>
      <c r="D532" s="34">
        <f t="shared" si="106"/>
        <v>1543.0705525440333</v>
      </c>
      <c r="E532" s="34">
        <f t="shared" si="107"/>
        <v>4847.6991118430778</v>
      </c>
      <c r="F532" s="39">
        <f t="shared" si="108"/>
        <v>2423.8495559215389</v>
      </c>
      <c r="G532" s="46">
        <f t="shared" si="112"/>
        <v>1.06</v>
      </c>
      <c r="H532" s="5">
        <f t="shared" si="109"/>
        <v>326.59999999999997</v>
      </c>
      <c r="I532" s="4"/>
      <c r="J532" s="4">
        <v>0.06</v>
      </c>
      <c r="K532" s="5">
        <f t="shared" si="110"/>
        <v>288.59999999999997</v>
      </c>
      <c r="L532" s="4">
        <v>38</v>
      </c>
      <c r="M532" s="7">
        <f t="shared" si="111"/>
        <v>1.067900207900208</v>
      </c>
      <c r="N532" s="6"/>
    </row>
    <row r="533" spans="1:14" x14ac:dyDescent="0.25">
      <c r="A533" s="4">
        <v>4820</v>
      </c>
      <c r="B533" s="5">
        <f t="shared" si="104"/>
        <v>5147.2</v>
      </c>
      <c r="C533" s="5">
        <f t="shared" si="105"/>
        <v>1534.2536514058711</v>
      </c>
      <c r="D533" s="34">
        <f t="shared" si="106"/>
        <v>1546.2536514058711</v>
      </c>
      <c r="E533" s="34">
        <f t="shared" si="107"/>
        <v>4857.6991118430778</v>
      </c>
      <c r="F533" s="39">
        <f t="shared" si="108"/>
        <v>2428.8495559215389</v>
      </c>
      <c r="G533" s="46">
        <f t="shared" si="112"/>
        <v>1.06</v>
      </c>
      <c r="H533" s="5">
        <f t="shared" si="109"/>
        <v>327.2</v>
      </c>
      <c r="I533" s="4"/>
      <c r="J533" s="4">
        <v>0.06</v>
      </c>
      <c r="K533" s="5">
        <f t="shared" si="110"/>
        <v>289.2</v>
      </c>
      <c r="L533" s="4">
        <v>38</v>
      </c>
      <c r="M533" s="7">
        <f t="shared" si="111"/>
        <v>1.0678838174273859</v>
      </c>
      <c r="N533" s="6"/>
    </row>
    <row r="534" spans="1:14" x14ac:dyDescent="0.25">
      <c r="A534" s="4">
        <v>4830</v>
      </c>
      <c r="B534" s="5">
        <f t="shared" si="104"/>
        <v>5157.8</v>
      </c>
      <c r="C534" s="5">
        <f t="shared" si="105"/>
        <v>1537.4367502677089</v>
      </c>
      <c r="D534" s="34">
        <f t="shared" si="106"/>
        <v>1549.4367502677089</v>
      </c>
      <c r="E534" s="34">
        <f t="shared" si="107"/>
        <v>4867.6991118430769</v>
      </c>
      <c r="F534" s="39">
        <f t="shared" si="108"/>
        <v>2433.8495559215385</v>
      </c>
      <c r="G534" s="46">
        <f t="shared" si="112"/>
        <v>1.06</v>
      </c>
      <c r="H534" s="5">
        <f t="shared" si="109"/>
        <v>327.8</v>
      </c>
      <c r="I534" s="4"/>
      <c r="J534" s="4">
        <v>0.06</v>
      </c>
      <c r="K534" s="5">
        <f t="shared" si="110"/>
        <v>289.8</v>
      </c>
      <c r="L534" s="4">
        <v>38</v>
      </c>
      <c r="M534" s="7">
        <f t="shared" si="111"/>
        <v>1.0678674948240165</v>
      </c>
      <c r="N534" s="6"/>
    </row>
    <row r="535" spans="1:14" x14ac:dyDescent="0.25">
      <c r="A535" s="4">
        <v>4840</v>
      </c>
      <c r="B535" s="5">
        <f t="shared" si="104"/>
        <v>5168.3999999999996</v>
      </c>
      <c r="C535" s="5">
        <f t="shared" si="105"/>
        <v>1540.619849129547</v>
      </c>
      <c r="D535" s="34">
        <f t="shared" si="106"/>
        <v>1552.619849129547</v>
      </c>
      <c r="E535" s="34">
        <f t="shared" si="107"/>
        <v>4877.6991118430778</v>
      </c>
      <c r="F535" s="39">
        <f t="shared" si="108"/>
        <v>2438.8495559215389</v>
      </c>
      <c r="G535" s="46">
        <f t="shared" si="112"/>
        <v>1.06</v>
      </c>
      <c r="H535" s="5">
        <f t="shared" si="109"/>
        <v>328.4</v>
      </c>
      <c r="I535" s="4"/>
      <c r="J535" s="4">
        <v>0.06</v>
      </c>
      <c r="K535" s="5">
        <f t="shared" si="110"/>
        <v>290.39999999999998</v>
      </c>
      <c r="L535" s="4">
        <v>38</v>
      </c>
      <c r="M535" s="7">
        <f t="shared" si="111"/>
        <v>1.0678512396694213</v>
      </c>
      <c r="N535" s="6"/>
    </row>
    <row r="536" spans="1:14" x14ac:dyDescent="0.25">
      <c r="A536" s="4">
        <v>4850</v>
      </c>
      <c r="B536" s="5">
        <f t="shared" si="104"/>
        <v>5179</v>
      </c>
      <c r="C536" s="5">
        <f t="shared" si="105"/>
        <v>1543.8029479913848</v>
      </c>
      <c r="D536" s="34">
        <f t="shared" si="106"/>
        <v>1555.8029479913848</v>
      </c>
      <c r="E536" s="34">
        <f t="shared" si="107"/>
        <v>4887.6991118430778</v>
      </c>
      <c r="F536" s="39">
        <f t="shared" si="108"/>
        <v>2443.8495559215389</v>
      </c>
      <c r="G536" s="46">
        <f t="shared" si="112"/>
        <v>1.06</v>
      </c>
      <c r="H536" s="5">
        <f t="shared" si="109"/>
        <v>329</v>
      </c>
      <c r="I536" s="4"/>
      <c r="J536" s="4">
        <v>0.06</v>
      </c>
      <c r="K536" s="5">
        <f t="shared" si="110"/>
        <v>291</v>
      </c>
      <c r="L536" s="4">
        <v>38</v>
      </c>
      <c r="M536" s="7">
        <f t="shared" si="111"/>
        <v>1.0678350515463917</v>
      </c>
      <c r="N536" s="6"/>
    </row>
    <row r="537" spans="1:14" x14ac:dyDescent="0.25">
      <c r="A537" s="4">
        <v>4860</v>
      </c>
      <c r="B537" s="5">
        <f t="shared" si="104"/>
        <v>5189.6000000000004</v>
      </c>
      <c r="C537" s="5">
        <f t="shared" si="105"/>
        <v>1546.9860468532227</v>
      </c>
      <c r="D537" s="34">
        <f t="shared" si="106"/>
        <v>1558.9860468532227</v>
      </c>
      <c r="E537" s="34">
        <f t="shared" si="107"/>
        <v>4897.6991118430769</v>
      </c>
      <c r="F537" s="39">
        <f t="shared" si="108"/>
        <v>2448.8495559215385</v>
      </c>
      <c r="G537" s="46">
        <f t="shared" si="112"/>
        <v>1.06</v>
      </c>
      <c r="H537" s="5">
        <f t="shared" si="109"/>
        <v>329.59999999999997</v>
      </c>
      <c r="I537" s="4"/>
      <c r="J537" s="4">
        <v>0.06</v>
      </c>
      <c r="K537" s="5">
        <f t="shared" si="110"/>
        <v>291.59999999999997</v>
      </c>
      <c r="L537" s="4">
        <v>38</v>
      </c>
      <c r="M537" s="7">
        <f t="shared" si="111"/>
        <v>1.0678189300411522</v>
      </c>
      <c r="N537" s="6"/>
    </row>
    <row r="538" spans="1:14" x14ac:dyDescent="0.25">
      <c r="A538" s="4">
        <v>4870</v>
      </c>
      <c r="B538" s="5">
        <f t="shared" si="104"/>
        <v>5200.2</v>
      </c>
      <c r="C538" s="5">
        <f t="shared" si="105"/>
        <v>1550.1691457150607</v>
      </c>
      <c r="D538" s="34">
        <f t="shared" si="106"/>
        <v>1562.1691457150607</v>
      </c>
      <c r="E538" s="34">
        <f t="shared" si="107"/>
        <v>4907.6991118430778</v>
      </c>
      <c r="F538" s="39">
        <f t="shared" si="108"/>
        <v>2453.8495559215389</v>
      </c>
      <c r="G538" s="46">
        <f t="shared" si="112"/>
        <v>1.06</v>
      </c>
      <c r="H538" s="5">
        <f t="shared" si="109"/>
        <v>330.2</v>
      </c>
      <c r="I538" s="4"/>
      <c r="J538" s="4">
        <v>0.06</v>
      </c>
      <c r="K538" s="5">
        <f t="shared" si="110"/>
        <v>292.2</v>
      </c>
      <c r="L538" s="4">
        <v>38</v>
      </c>
      <c r="M538" s="7">
        <f t="shared" si="111"/>
        <v>1.0678028747433264</v>
      </c>
      <c r="N538" s="6"/>
    </row>
    <row r="539" spans="1:14" x14ac:dyDescent="0.25">
      <c r="A539" s="4">
        <v>4880</v>
      </c>
      <c r="B539" s="5">
        <f t="shared" si="104"/>
        <v>5210.8</v>
      </c>
      <c r="C539" s="5">
        <f t="shared" si="105"/>
        <v>1553.3522445768986</v>
      </c>
      <c r="D539" s="34">
        <f t="shared" si="106"/>
        <v>1565.3522445768986</v>
      </c>
      <c r="E539" s="34">
        <f t="shared" si="107"/>
        <v>4917.6991118430778</v>
      </c>
      <c r="F539" s="39">
        <f t="shared" si="108"/>
        <v>2458.8495559215389</v>
      </c>
      <c r="G539" s="46">
        <f t="shared" si="112"/>
        <v>1.06</v>
      </c>
      <c r="H539" s="5">
        <f t="shared" si="109"/>
        <v>330.8</v>
      </c>
      <c r="I539" s="4"/>
      <c r="J539" s="4">
        <v>0.06</v>
      </c>
      <c r="K539" s="5">
        <f t="shared" si="110"/>
        <v>292.8</v>
      </c>
      <c r="L539" s="4">
        <v>38</v>
      </c>
      <c r="M539" s="7">
        <f t="shared" si="111"/>
        <v>1.0677868852459016</v>
      </c>
      <c r="N539" s="6"/>
    </row>
    <row r="540" spans="1:14" x14ac:dyDescent="0.25">
      <c r="A540" s="4">
        <v>4890</v>
      </c>
      <c r="B540" s="5">
        <f t="shared" si="104"/>
        <v>5221.3999999999996</v>
      </c>
      <c r="C540" s="5">
        <f t="shared" si="105"/>
        <v>1556.5353434387364</v>
      </c>
      <c r="D540" s="34">
        <f t="shared" si="106"/>
        <v>1568.5353434387364</v>
      </c>
      <c r="E540" s="34">
        <f t="shared" si="107"/>
        <v>4927.6991118430769</v>
      </c>
      <c r="F540" s="39">
        <f t="shared" si="108"/>
        <v>2463.8495559215385</v>
      </c>
      <c r="G540" s="46">
        <f t="shared" si="112"/>
        <v>1.06</v>
      </c>
      <c r="H540" s="5">
        <f t="shared" si="109"/>
        <v>331.4</v>
      </c>
      <c r="I540" s="4"/>
      <c r="J540" s="4">
        <v>0.06</v>
      </c>
      <c r="K540" s="5">
        <f t="shared" si="110"/>
        <v>293.39999999999998</v>
      </c>
      <c r="L540" s="4">
        <v>38</v>
      </c>
      <c r="M540" s="7">
        <f t="shared" si="111"/>
        <v>1.0677709611451942</v>
      </c>
      <c r="N540" s="6"/>
    </row>
    <row r="541" spans="1:14" x14ac:dyDescent="0.25">
      <c r="A541" s="4">
        <v>4900</v>
      </c>
      <c r="B541" s="5">
        <f t="shared" si="104"/>
        <v>5232</v>
      </c>
      <c r="C541" s="5">
        <f t="shared" si="105"/>
        <v>1559.7184423005745</v>
      </c>
      <c r="D541" s="34">
        <f t="shared" si="106"/>
        <v>1571.7184423005745</v>
      </c>
      <c r="E541" s="34">
        <f t="shared" si="107"/>
        <v>4937.6991118430778</v>
      </c>
      <c r="F541" s="39">
        <f t="shared" si="108"/>
        <v>2468.8495559215389</v>
      </c>
      <c r="G541" s="46">
        <f t="shared" si="112"/>
        <v>1.06</v>
      </c>
      <c r="H541" s="5">
        <f t="shared" si="109"/>
        <v>332</v>
      </c>
      <c r="I541" s="4"/>
      <c r="J541" s="4">
        <v>0.06</v>
      </c>
      <c r="K541" s="5">
        <f t="shared" si="110"/>
        <v>294</v>
      </c>
      <c r="L541" s="4">
        <v>38</v>
      </c>
      <c r="M541" s="7">
        <f t="shared" si="111"/>
        <v>1.0677551020408163</v>
      </c>
      <c r="N541" s="6"/>
    </row>
    <row r="542" spans="1:14" x14ac:dyDescent="0.25">
      <c r="A542" s="4">
        <v>4910</v>
      </c>
      <c r="B542" s="5">
        <f t="shared" si="104"/>
        <v>5242.6000000000004</v>
      </c>
      <c r="C542" s="5">
        <f t="shared" si="105"/>
        <v>1562.9015411624123</v>
      </c>
      <c r="D542" s="34">
        <f t="shared" si="106"/>
        <v>1574.9015411624123</v>
      </c>
      <c r="E542" s="34">
        <f t="shared" si="107"/>
        <v>4947.6991118430778</v>
      </c>
      <c r="F542" s="39">
        <f t="shared" si="108"/>
        <v>2473.8495559215389</v>
      </c>
      <c r="G542" s="46">
        <f t="shared" si="112"/>
        <v>1.06</v>
      </c>
      <c r="H542" s="5">
        <f t="shared" si="109"/>
        <v>332.59999999999997</v>
      </c>
      <c r="I542" s="4"/>
      <c r="J542" s="4">
        <v>0.06</v>
      </c>
      <c r="K542" s="5">
        <f t="shared" si="110"/>
        <v>294.59999999999997</v>
      </c>
      <c r="L542" s="4">
        <v>38</v>
      </c>
      <c r="M542" s="7">
        <f t="shared" si="111"/>
        <v>1.0677393075356416</v>
      </c>
      <c r="N542" s="6"/>
    </row>
    <row r="543" spans="1:14" x14ac:dyDescent="0.25">
      <c r="A543" s="4">
        <v>4920</v>
      </c>
      <c r="B543" s="5">
        <f t="shared" si="104"/>
        <v>5253.2</v>
      </c>
      <c r="C543" s="5">
        <f t="shared" si="105"/>
        <v>1566.0846400242501</v>
      </c>
      <c r="D543" s="34">
        <f t="shared" si="106"/>
        <v>1578.0846400242501</v>
      </c>
      <c r="E543" s="34">
        <f t="shared" si="107"/>
        <v>4957.6991118430769</v>
      </c>
      <c r="F543" s="39">
        <f t="shared" si="108"/>
        <v>2478.8495559215385</v>
      </c>
      <c r="G543" s="46">
        <f t="shared" si="112"/>
        <v>1.06</v>
      </c>
      <c r="H543" s="5">
        <f t="shared" si="109"/>
        <v>333.2</v>
      </c>
      <c r="I543" s="4"/>
      <c r="J543" s="4">
        <v>0.06</v>
      </c>
      <c r="K543" s="5">
        <f t="shared" si="110"/>
        <v>295.2</v>
      </c>
      <c r="L543" s="4">
        <v>38</v>
      </c>
      <c r="M543" s="7">
        <f t="shared" si="111"/>
        <v>1.0677235772357723</v>
      </c>
      <c r="N543" s="6"/>
    </row>
    <row r="544" spans="1:14" x14ac:dyDescent="0.25">
      <c r="A544" s="4">
        <v>4930</v>
      </c>
      <c r="B544" s="5">
        <f t="shared" si="104"/>
        <v>5263.8</v>
      </c>
      <c r="C544" s="5">
        <f t="shared" si="105"/>
        <v>1569.2677388860882</v>
      </c>
      <c r="D544" s="34">
        <f t="shared" si="106"/>
        <v>1581.2677388860882</v>
      </c>
      <c r="E544" s="34">
        <f t="shared" si="107"/>
        <v>4967.6991118430778</v>
      </c>
      <c r="F544" s="39">
        <f t="shared" si="108"/>
        <v>2483.8495559215389</v>
      </c>
      <c r="G544" s="46">
        <f t="shared" si="112"/>
        <v>1.06</v>
      </c>
      <c r="H544" s="5">
        <f t="shared" si="109"/>
        <v>333.8</v>
      </c>
      <c r="I544" s="4"/>
      <c r="J544" s="4">
        <v>0.06</v>
      </c>
      <c r="K544" s="5">
        <f t="shared" si="110"/>
        <v>295.8</v>
      </c>
      <c r="L544" s="4">
        <v>38</v>
      </c>
      <c r="M544" s="7">
        <f t="shared" si="111"/>
        <v>1.0677079107505072</v>
      </c>
      <c r="N544" s="6"/>
    </row>
    <row r="545" spans="1:14" x14ac:dyDescent="0.25">
      <c r="A545" s="4">
        <v>4940</v>
      </c>
      <c r="B545" s="5">
        <f t="shared" si="104"/>
        <v>5274.4</v>
      </c>
      <c r="C545" s="5">
        <f t="shared" si="105"/>
        <v>1572.450837747926</v>
      </c>
      <c r="D545" s="34">
        <f t="shared" si="106"/>
        <v>1584.450837747926</v>
      </c>
      <c r="E545" s="34">
        <f t="shared" si="107"/>
        <v>4977.6991118430778</v>
      </c>
      <c r="F545" s="39">
        <f t="shared" si="108"/>
        <v>2488.8495559215389</v>
      </c>
      <c r="G545" s="46">
        <f t="shared" si="112"/>
        <v>1.06</v>
      </c>
      <c r="H545" s="5">
        <f t="shared" si="109"/>
        <v>334.4</v>
      </c>
      <c r="I545" s="4"/>
      <c r="J545" s="4">
        <v>0.06</v>
      </c>
      <c r="K545" s="5">
        <f t="shared" si="110"/>
        <v>296.39999999999998</v>
      </c>
      <c r="L545" s="4">
        <v>38</v>
      </c>
      <c r="M545" s="7">
        <f t="shared" si="111"/>
        <v>1.0676923076923077</v>
      </c>
      <c r="N545" s="6"/>
    </row>
    <row r="546" spans="1:14" x14ac:dyDescent="0.25">
      <c r="A546" s="4">
        <v>4950</v>
      </c>
      <c r="B546" s="5">
        <f t="shared" si="104"/>
        <v>5285</v>
      </c>
      <c r="C546" s="5">
        <f t="shared" si="105"/>
        <v>1575.6339366097639</v>
      </c>
      <c r="D546" s="34">
        <f t="shared" si="106"/>
        <v>1587.6339366097639</v>
      </c>
      <c r="E546" s="34">
        <f t="shared" si="107"/>
        <v>4987.6991118430778</v>
      </c>
      <c r="F546" s="39">
        <f t="shared" si="108"/>
        <v>2493.8495559215389</v>
      </c>
      <c r="G546" s="46">
        <f t="shared" si="112"/>
        <v>1.06</v>
      </c>
      <c r="H546" s="5">
        <f t="shared" si="109"/>
        <v>335</v>
      </c>
      <c r="I546" s="4"/>
      <c r="J546" s="4">
        <v>0.06</v>
      </c>
      <c r="K546" s="5">
        <f t="shared" si="110"/>
        <v>297</v>
      </c>
      <c r="L546" s="4">
        <v>38</v>
      </c>
      <c r="M546" s="7">
        <f t="shared" si="111"/>
        <v>1.0676767676767678</v>
      </c>
      <c r="N546" s="6"/>
    </row>
    <row r="547" spans="1:14" x14ac:dyDescent="0.25">
      <c r="A547" s="4">
        <v>4960</v>
      </c>
      <c r="B547" s="5">
        <f t="shared" si="104"/>
        <v>5295.6</v>
      </c>
      <c r="C547" s="5">
        <f t="shared" si="105"/>
        <v>1578.8170354716017</v>
      </c>
      <c r="D547" s="34">
        <f t="shared" si="106"/>
        <v>1590.8170354716017</v>
      </c>
      <c r="E547" s="34">
        <f t="shared" si="107"/>
        <v>4997.6991118430769</v>
      </c>
      <c r="F547" s="39">
        <f t="shared" si="108"/>
        <v>2498.8495559215385</v>
      </c>
      <c r="G547" s="46">
        <f t="shared" si="112"/>
        <v>1.06</v>
      </c>
      <c r="H547" s="5">
        <f t="shared" si="109"/>
        <v>335.59999999999997</v>
      </c>
      <c r="I547" s="4"/>
      <c r="J547" s="4">
        <v>0.06</v>
      </c>
      <c r="K547" s="5">
        <f t="shared" si="110"/>
        <v>297.59999999999997</v>
      </c>
      <c r="L547" s="4">
        <v>38</v>
      </c>
      <c r="M547" s="7">
        <f t="shared" si="111"/>
        <v>1.0676612903225806</v>
      </c>
      <c r="N547" s="6"/>
    </row>
    <row r="548" spans="1:14" x14ac:dyDescent="0.25">
      <c r="A548" s="4">
        <v>4970</v>
      </c>
      <c r="B548" s="5">
        <f t="shared" si="104"/>
        <v>5306.2</v>
      </c>
      <c r="C548" s="5">
        <f t="shared" si="105"/>
        <v>1582.0001343334397</v>
      </c>
      <c r="D548" s="34">
        <f t="shared" si="106"/>
        <v>1594.0001343334397</v>
      </c>
      <c r="E548" s="34">
        <f t="shared" si="107"/>
        <v>5007.6991118430778</v>
      </c>
      <c r="F548" s="39">
        <f t="shared" si="108"/>
        <v>2503.8495559215389</v>
      </c>
      <c r="G548" s="46">
        <f t="shared" si="112"/>
        <v>1.06</v>
      </c>
      <c r="H548" s="5">
        <f t="shared" si="109"/>
        <v>336.2</v>
      </c>
      <c r="I548" s="4"/>
      <c r="J548" s="4">
        <v>0.06</v>
      </c>
      <c r="K548" s="5">
        <f t="shared" si="110"/>
        <v>298.2</v>
      </c>
      <c r="L548" s="4">
        <v>38</v>
      </c>
      <c r="M548" s="7">
        <f t="shared" si="111"/>
        <v>1.067645875251509</v>
      </c>
      <c r="N548" s="6"/>
    </row>
    <row r="549" spans="1:14" x14ac:dyDescent="0.25">
      <c r="A549" s="4">
        <v>4980</v>
      </c>
      <c r="B549" s="5">
        <f t="shared" si="104"/>
        <v>5316.8</v>
      </c>
      <c r="C549" s="5">
        <f t="shared" si="105"/>
        <v>1585.1832331952776</v>
      </c>
      <c r="D549" s="34">
        <f t="shared" si="106"/>
        <v>1597.1832331952776</v>
      </c>
      <c r="E549" s="34">
        <f t="shared" si="107"/>
        <v>5017.6991118430778</v>
      </c>
      <c r="F549" s="39">
        <f t="shared" si="108"/>
        <v>2508.8495559215389</v>
      </c>
      <c r="G549" s="46">
        <f t="shared" si="112"/>
        <v>1.06</v>
      </c>
      <c r="H549" s="5">
        <f t="shared" si="109"/>
        <v>336.8</v>
      </c>
      <c r="I549" s="4"/>
      <c r="J549" s="4">
        <v>0.06</v>
      </c>
      <c r="K549" s="5">
        <f t="shared" si="110"/>
        <v>298.8</v>
      </c>
      <c r="L549" s="4">
        <v>38</v>
      </c>
      <c r="M549" s="7">
        <f t="shared" si="111"/>
        <v>1.0676305220883535</v>
      </c>
      <c r="N549" s="6"/>
    </row>
    <row r="550" spans="1:14" x14ac:dyDescent="0.25">
      <c r="A550" s="4">
        <v>4990</v>
      </c>
      <c r="B550" s="5">
        <f t="shared" si="104"/>
        <v>5327.4</v>
      </c>
      <c r="C550" s="5">
        <f t="shared" si="105"/>
        <v>1588.3663320571154</v>
      </c>
      <c r="D550" s="34">
        <f t="shared" si="106"/>
        <v>1600.3663320571154</v>
      </c>
      <c r="E550" s="34">
        <f t="shared" si="107"/>
        <v>5027.6991118430769</v>
      </c>
      <c r="F550" s="39">
        <f t="shared" si="108"/>
        <v>2513.8495559215385</v>
      </c>
      <c r="G550" s="46">
        <f t="shared" si="112"/>
        <v>1.06</v>
      </c>
      <c r="H550" s="5">
        <f t="shared" si="109"/>
        <v>337.4</v>
      </c>
      <c r="I550" s="4"/>
      <c r="J550" s="4">
        <v>0.06</v>
      </c>
      <c r="K550" s="5">
        <f t="shared" si="110"/>
        <v>299.39999999999998</v>
      </c>
      <c r="L550" s="4">
        <v>38</v>
      </c>
      <c r="M550" s="7">
        <f t="shared" si="111"/>
        <v>1.0676152304609217</v>
      </c>
      <c r="N550" s="6"/>
    </row>
    <row r="551" spans="1:14" x14ac:dyDescent="0.25">
      <c r="A551" s="4">
        <v>5000</v>
      </c>
      <c r="B551" s="5">
        <f t="shared" si="104"/>
        <v>5338</v>
      </c>
      <c r="C551" s="5">
        <f t="shared" si="105"/>
        <v>1591.5494309189535</v>
      </c>
      <c r="D551" s="34">
        <f t="shared" si="106"/>
        <v>1603.5494309189535</v>
      </c>
      <c r="E551" s="34">
        <f t="shared" si="107"/>
        <v>5037.6991118430778</v>
      </c>
      <c r="F551" s="39">
        <f t="shared" si="108"/>
        <v>2518.8495559215389</v>
      </c>
      <c r="G551" s="46">
        <f t="shared" si="112"/>
        <v>1.06</v>
      </c>
      <c r="H551" s="5">
        <f t="shared" si="109"/>
        <v>338</v>
      </c>
      <c r="I551" s="4"/>
      <c r="J551" s="4">
        <v>0.06</v>
      </c>
      <c r="K551" s="5">
        <f t="shared" si="110"/>
        <v>300</v>
      </c>
      <c r="L551" s="4">
        <v>38</v>
      </c>
      <c r="M551" s="7">
        <f t="shared" si="111"/>
        <v>1.0676000000000001</v>
      </c>
      <c r="N551" s="6"/>
    </row>
    <row r="552" spans="1:14" x14ac:dyDescent="0.25">
      <c r="A552" s="4">
        <v>5010</v>
      </c>
      <c r="B552" s="5">
        <f t="shared" si="104"/>
        <v>5348.6</v>
      </c>
      <c r="C552" s="5">
        <f t="shared" si="105"/>
        <v>1594.7325297807913</v>
      </c>
      <c r="D552" s="34">
        <f t="shared" si="106"/>
        <v>1606.7325297807913</v>
      </c>
      <c r="E552" s="34">
        <f t="shared" si="107"/>
        <v>5047.6991118430778</v>
      </c>
      <c r="F552" s="39">
        <f t="shared" si="108"/>
        <v>2523.8495559215389</v>
      </c>
      <c r="G552" s="46">
        <f t="shared" si="112"/>
        <v>1.06</v>
      </c>
      <c r="H552" s="5">
        <f t="shared" si="109"/>
        <v>338.59999999999997</v>
      </c>
      <c r="I552" s="4"/>
      <c r="J552" s="4">
        <v>0.06</v>
      </c>
      <c r="K552" s="5">
        <f t="shared" si="110"/>
        <v>300.59999999999997</v>
      </c>
      <c r="L552" s="4">
        <v>38</v>
      </c>
      <c r="M552" s="7">
        <f t="shared" si="111"/>
        <v>1.0675848303393214</v>
      </c>
      <c r="N552" s="6"/>
    </row>
    <row r="553" spans="1:14" x14ac:dyDescent="0.25">
      <c r="A553" s="4">
        <v>5020</v>
      </c>
      <c r="B553" s="5">
        <f t="shared" si="104"/>
        <v>5359.2</v>
      </c>
      <c r="C553" s="5">
        <f t="shared" si="105"/>
        <v>1597.9156286426291</v>
      </c>
      <c r="D553" s="34">
        <f t="shared" si="106"/>
        <v>1609.9156286426291</v>
      </c>
      <c r="E553" s="34">
        <f t="shared" si="107"/>
        <v>5057.6991118430769</v>
      </c>
      <c r="F553" s="39">
        <f t="shared" si="108"/>
        <v>2528.8495559215385</v>
      </c>
      <c r="G553" s="46">
        <f t="shared" si="112"/>
        <v>1.06</v>
      </c>
      <c r="H553" s="5">
        <f t="shared" si="109"/>
        <v>339.2</v>
      </c>
      <c r="I553" s="4"/>
      <c r="J553" s="4">
        <v>0.06</v>
      </c>
      <c r="K553" s="5">
        <f t="shared" si="110"/>
        <v>301.2</v>
      </c>
      <c r="L553" s="4">
        <v>38</v>
      </c>
      <c r="M553" s="7">
        <f t="shared" si="111"/>
        <v>1.0675697211155377</v>
      </c>
      <c r="N553" s="6"/>
    </row>
    <row r="554" spans="1:14" x14ac:dyDescent="0.25">
      <c r="A554" s="4">
        <v>5030</v>
      </c>
      <c r="B554" s="5">
        <f t="shared" si="104"/>
        <v>5369.8</v>
      </c>
      <c r="C554" s="5">
        <f t="shared" si="105"/>
        <v>1601.0987275044672</v>
      </c>
      <c r="D554" s="34">
        <f t="shared" si="106"/>
        <v>1613.0987275044672</v>
      </c>
      <c r="E554" s="34">
        <f t="shared" si="107"/>
        <v>5067.6991118430778</v>
      </c>
      <c r="F554" s="39">
        <f t="shared" si="108"/>
        <v>2533.8495559215389</v>
      </c>
      <c r="G554" s="46">
        <f t="shared" si="112"/>
        <v>1.06</v>
      </c>
      <c r="H554" s="5">
        <f t="shared" si="109"/>
        <v>339.8</v>
      </c>
      <c r="I554" s="4"/>
      <c r="J554" s="4">
        <v>0.06</v>
      </c>
      <c r="K554" s="5">
        <f t="shared" si="110"/>
        <v>301.8</v>
      </c>
      <c r="L554" s="4">
        <v>38</v>
      </c>
      <c r="M554" s="7">
        <f t="shared" si="111"/>
        <v>1.067554671968191</v>
      </c>
      <c r="N554" s="6"/>
    </row>
    <row r="555" spans="1:14" x14ac:dyDescent="0.25">
      <c r="A555" s="4">
        <v>5040</v>
      </c>
      <c r="B555" s="5">
        <f t="shared" si="104"/>
        <v>5380.4</v>
      </c>
      <c r="C555" s="5">
        <f t="shared" si="105"/>
        <v>1604.281826366305</v>
      </c>
      <c r="D555" s="34">
        <f t="shared" si="106"/>
        <v>1616.281826366305</v>
      </c>
      <c r="E555" s="34">
        <f t="shared" si="107"/>
        <v>5077.6991118430778</v>
      </c>
      <c r="F555" s="39">
        <f t="shared" si="108"/>
        <v>2538.8495559215389</v>
      </c>
      <c r="G555" s="46">
        <f t="shared" si="112"/>
        <v>1.06</v>
      </c>
      <c r="H555" s="5">
        <f t="shared" si="109"/>
        <v>340.4</v>
      </c>
      <c r="I555" s="4"/>
      <c r="J555" s="4">
        <v>0.06</v>
      </c>
      <c r="K555" s="5">
        <f t="shared" si="110"/>
        <v>302.39999999999998</v>
      </c>
      <c r="L555" s="4">
        <v>38</v>
      </c>
      <c r="M555" s="7">
        <f t="shared" si="111"/>
        <v>1.0675396825396826</v>
      </c>
      <c r="N555" s="6"/>
    </row>
    <row r="556" spans="1:14" x14ac:dyDescent="0.25">
      <c r="A556" s="4">
        <v>5050</v>
      </c>
      <c r="B556" s="5">
        <f t="shared" si="104"/>
        <v>5391</v>
      </c>
      <c r="C556" s="5">
        <f t="shared" si="105"/>
        <v>1607.4649252281429</v>
      </c>
      <c r="D556" s="34">
        <f t="shared" si="106"/>
        <v>1619.4649252281429</v>
      </c>
      <c r="E556" s="34">
        <f t="shared" si="107"/>
        <v>5087.6991118430769</v>
      </c>
      <c r="F556" s="39">
        <f t="shared" si="108"/>
        <v>2543.8495559215385</v>
      </c>
      <c r="G556" s="46">
        <f t="shared" si="112"/>
        <v>1.06</v>
      </c>
      <c r="H556" s="5">
        <f t="shared" si="109"/>
        <v>341</v>
      </c>
      <c r="I556" s="4"/>
      <c r="J556" s="4">
        <v>0.06</v>
      </c>
      <c r="K556" s="5">
        <f t="shared" si="110"/>
        <v>303</v>
      </c>
      <c r="L556" s="4">
        <v>38</v>
      </c>
      <c r="M556" s="7">
        <f t="shared" si="111"/>
        <v>1.0675247524752476</v>
      </c>
      <c r="N556" s="6"/>
    </row>
    <row r="557" spans="1:14" x14ac:dyDescent="0.25">
      <c r="A557" s="4">
        <v>5060</v>
      </c>
      <c r="B557" s="5">
        <f t="shared" si="104"/>
        <v>5401.6</v>
      </c>
      <c r="C557" s="5">
        <f t="shared" si="105"/>
        <v>1610.6480240899809</v>
      </c>
      <c r="D557" s="34">
        <f t="shared" si="106"/>
        <v>1622.6480240899809</v>
      </c>
      <c r="E557" s="34">
        <f t="shared" si="107"/>
        <v>5097.6991118430778</v>
      </c>
      <c r="F557" s="39">
        <f t="shared" si="108"/>
        <v>2548.8495559215389</v>
      </c>
      <c r="G557" s="46">
        <f t="shared" si="112"/>
        <v>1.06</v>
      </c>
      <c r="H557" s="5">
        <f t="shared" si="109"/>
        <v>341.59999999999997</v>
      </c>
      <c r="I557" s="4"/>
      <c r="J557" s="4">
        <v>0.06</v>
      </c>
      <c r="K557" s="5">
        <f t="shared" si="110"/>
        <v>303.59999999999997</v>
      </c>
      <c r="L557" s="4">
        <v>38</v>
      </c>
      <c r="M557" s="7">
        <f t="shared" si="111"/>
        <v>1.0675098814229249</v>
      </c>
      <c r="N557" s="6"/>
    </row>
    <row r="558" spans="1:14" x14ac:dyDescent="0.25">
      <c r="A558" s="4">
        <v>5070</v>
      </c>
      <c r="B558" s="5">
        <f t="shared" ref="B558:B621" si="113">A558+K558+L558</f>
        <v>5412.2</v>
      </c>
      <c r="C558" s="5">
        <f t="shared" ref="C558:C621" si="114">A558/PI()</f>
        <v>1613.8311229518188</v>
      </c>
      <c r="D558" s="34">
        <f t="shared" ref="D558:D621" si="115">C558+12</f>
        <v>1625.8311229518188</v>
      </c>
      <c r="E558" s="34">
        <f t="shared" ref="E558:E621" si="116">D558*PI()</f>
        <v>5107.6991118430778</v>
      </c>
      <c r="F558" s="39">
        <f t="shared" ref="F558:F621" si="117">E558/2</f>
        <v>2553.8495559215389</v>
      </c>
      <c r="G558" s="46">
        <f t="shared" si="112"/>
        <v>1.06</v>
      </c>
      <c r="H558" s="5">
        <f t="shared" ref="H558:H621" si="118">K558+L558</f>
        <v>342.2</v>
      </c>
      <c r="I558" s="4"/>
      <c r="J558" s="4">
        <v>0.06</v>
      </c>
      <c r="K558" s="5">
        <f t="shared" ref="K558:K621" si="119">A558*J558</f>
        <v>304.2</v>
      </c>
      <c r="L558" s="4">
        <v>38</v>
      </c>
      <c r="M558" s="7">
        <f t="shared" ref="M558:M621" si="120">B558/A558</f>
        <v>1.0674950690335305</v>
      </c>
      <c r="N558" s="6"/>
    </row>
    <row r="559" spans="1:14" x14ac:dyDescent="0.25">
      <c r="A559" s="4">
        <v>5080</v>
      </c>
      <c r="B559" s="5">
        <f t="shared" si="113"/>
        <v>5422.8</v>
      </c>
      <c r="C559" s="5">
        <f t="shared" si="114"/>
        <v>1617.0142218136566</v>
      </c>
      <c r="D559" s="34">
        <f t="shared" si="115"/>
        <v>1629.0142218136566</v>
      </c>
      <c r="E559" s="34">
        <f t="shared" si="116"/>
        <v>5117.6991118430769</v>
      </c>
      <c r="F559" s="39">
        <f t="shared" si="117"/>
        <v>2558.8495559215385</v>
      </c>
      <c r="G559" s="46">
        <f t="shared" si="112"/>
        <v>1.06</v>
      </c>
      <c r="H559" s="5">
        <f t="shared" si="118"/>
        <v>342.8</v>
      </c>
      <c r="I559" s="4"/>
      <c r="J559" s="4">
        <v>0.06</v>
      </c>
      <c r="K559" s="5">
        <f t="shared" si="119"/>
        <v>304.8</v>
      </c>
      <c r="L559" s="4">
        <v>38</v>
      </c>
      <c r="M559" s="7">
        <f t="shared" si="120"/>
        <v>1.06748031496063</v>
      </c>
      <c r="N559" s="6"/>
    </row>
    <row r="560" spans="1:14" x14ac:dyDescent="0.25">
      <c r="A560" s="4">
        <v>5090</v>
      </c>
      <c r="B560" s="5">
        <f t="shared" si="113"/>
        <v>5433.4</v>
      </c>
      <c r="C560" s="5">
        <f t="shared" si="114"/>
        <v>1620.1973206754947</v>
      </c>
      <c r="D560" s="34">
        <f t="shared" si="115"/>
        <v>1632.1973206754947</v>
      </c>
      <c r="E560" s="34">
        <f t="shared" si="116"/>
        <v>5127.6991118430778</v>
      </c>
      <c r="F560" s="39">
        <f t="shared" si="117"/>
        <v>2563.8495559215389</v>
      </c>
      <c r="G560" s="46">
        <f t="shared" si="112"/>
        <v>1.06</v>
      </c>
      <c r="H560" s="5">
        <f t="shared" si="118"/>
        <v>343.4</v>
      </c>
      <c r="I560" s="4"/>
      <c r="J560" s="4">
        <v>0.06</v>
      </c>
      <c r="K560" s="5">
        <f t="shared" si="119"/>
        <v>305.39999999999998</v>
      </c>
      <c r="L560" s="4">
        <v>38</v>
      </c>
      <c r="M560" s="7">
        <f t="shared" si="120"/>
        <v>1.0674656188605107</v>
      </c>
      <c r="N560" s="6"/>
    </row>
    <row r="561" spans="1:14" x14ac:dyDescent="0.25">
      <c r="A561" s="4">
        <v>5100</v>
      </c>
      <c r="B561" s="5">
        <f t="shared" si="113"/>
        <v>5444</v>
      </c>
      <c r="C561" s="5">
        <f t="shared" si="114"/>
        <v>1623.3804195373325</v>
      </c>
      <c r="D561" s="34">
        <f t="shared" si="115"/>
        <v>1635.3804195373325</v>
      </c>
      <c r="E561" s="34">
        <f t="shared" si="116"/>
        <v>5137.6991118430778</v>
      </c>
      <c r="F561" s="39">
        <f t="shared" si="117"/>
        <v>2568.8495559215389</v>
      </c>
      <c r="G561" s="46">
        <f t="shared" si="112"/>
        <v>1.06</v>
      </c>
      <c r="H561" s="5">
        <f t="shared" si="118"/>
        <v>344</v>
      </c>
      <c r="I561" s="4"/>
      <c r="J561" s="4">
        <v>0.06</v>
      </c>
      <c r="K561" s="5">
        <f t="shared" si="119"/>
        <v>306</v>
      </c>
      <c r="L561" s="4">
        <v>38</v>
      </c>
      <c r="M561" s="7">
        <f t="shared" si="120"/>
        <v>1.0674509803921568</v>
      </c>
      <c r="N561" s="6"/>
    </row>
    <row r="562" spans="1:14" x14ac:dyDescent="0.25">
      <c r="A562" s="4">
        <v>5110</v>
      </c>
      <c r="B562" s="5">
        <f t="shared" si="113"/>
        <v>5454.6</v>
      </c>
      <c r="C562" s="5">
        <f t="shared" si="114"/>
        <v>1626.5635183991703</v>
      </c>
      <c r="D562" s="34">
        <f t="shared" si="115"/>
        <v>1638.5635183991703</v>
      </c>
      <c r="E562" s="34">
        <f t="shared" si="116"/>
        <v>5147.6991118430769</v>
      </c>
      <c r="F562" s="39">
        <f t="shared" si="117"/>
        <v>2573.8495559215385</v>
      </c>
      <c r="G562" s="46">
        <f t="shared" si="112"/>
        <v>1.06</v>
      </c>
      <c r="H562" s="5">
        <f t="shared" si="118"/>
        <v>344.59999999999997</v>
      </c>
      <c r="I562" s="4"/>
      <c r="J562" s="4">
        <v>0.06</v>
      </c>
      <c r="K562" s="5">
        <f t="shared" si="119"/>
        <v>306.59999999999997</v>
      </c>
      <c r="L562" s="4">
        <v>38</v>
      </c>
      <c r="M562" s="7">
        <f t="shared" si="120"/>
        <v>1.0674363992172211</v>
      </c>
      <c r="N562" s="6"/>
    </row>
    <row r="563" spans="1:14" x14ac:dyDescent="0.25">
      <c r="A563" s="4">
        <v>5120</v>
      </c>
      <c r="B563" s="5">
        <f t="shared" si="113"/>
        <v>5465.2</v>
      </c>
      <c r="C563" s="5">
        <f t="shared" si="114"/>
        <v>1629.7466172610084</v>
      </c>
      <c r="D563" s="34">
        <f t="shared" si="115"/>
        <v>1641.7466172610084</v>
      </c>
      <c r="E563" s="34">
        <f t="shared" si="116"/>
        <v>5157.6991118430778</v>
      </c>
      <c r="F563" s="39">
        <f t="shared" si="117"/>
        <v>2578.8495559215389</v>
      </c>
      <c r="G563" s="46">
        <f t="shared" si="112"/>
        <v>1.06</v>
      </c>
      <c r="H563" s="5">
        <f t="shared" si="118"/>
        <v>345.2</v>
      </c>
      <c r="I563" s="4"/>
      <c r="J563" s="4">
        <v>0.06</v>
      </c>
      <c r="K563" s="5">
        <f t="shared" si="119"/>
        <v>307.2</v>
      </c>
      <c r="L563" s="4">
        <v>38</v>
      </c>
      <c r="M563" s="7">
        <f t="shared" si="120"/>
        <v>1.067421875</v>
      </c>
      <c r="N563" s="6"/>
    </row>
    <row r="564" spans="1:14" x14ac:dyDescent="0.25">
      <c r="A564" s="4">
        <v>5130</v>
      </c>
      <c r="B564" s="5">
        <f t="shared" si="113"/>
        <v>5475.8</v>
      </c>
      <c r="C564" s="5">
        <f t="shared" si="114"/>
        <v>1632.9297161228462</v>
      </c>
      <c r="D564" s="34">
        <f t="shared" si="115"/>
        <v>1644.9297161228462</v>
      </c>
      <c r="E564" s="34">
        <f t="shared" si="116"/>
        <v>5167.6991118430778</v>
      </c>
      <c r="F564" s="39">
        <f t="shared" si="117"/>
        <v>2583.8495559215389</v>
      </c>
      <c r="G564" s="46">
        <f t="shared" si="112"/>
        <v>1.06</v>
      </c>
      <c r="H564" s="5">
        <f t="shared" si="118"/>
        <v>345.8</v>
      </c>
      <c r="I564" s="4"/>
      <c r="J564" s="4">
        <v>0.06</v>
      </c>
      <c r="K564" s="5">
        <f t="shared" si="119"/>
        <v>307.8</v>
      </c>
      <c r="L564" s="4">
        <v>38</v>
      </c>
      <c r="M564" s="7">
        <f t="shared" si="120"/>
        <v>1.0674074074074074</v>
      </c>
      <c r="N564" s="6"/>
    </row>
    <row r="565" spans="1:14" x14ac:dyDescent="0.25">
      <c r="A565" s="4">
        <v>5140</v>
      </c>
      <c r="B565" s="5">
        <f t="shared" si="113"/>
        <v>5486.4</v>
      </c>
      <c r="C565" s="5">
        <f t="shared" si="114"/>
        <v>1636.1128149846841</v>
      </c>
      <c r="D565" s="34">
        <f t="shared" si="115"/>
        <v>1648.1128149846841</v>
      </c>
      <c r="E565" s="34">
        <f t="shared" si="116"/>
        <v>5177.6991118430769</v>
      </c>
      <c r="F565" s="39">
        <f t="shared" si="117"/>
        <v>2588.8495559215385</v>
      </c>
      <c r="G565" s="46">
        <f t="shared" si="112"/>
        <v>1.06</v>
      </c>
      <c r="H565" s="5">
        <f t="shared" si="118"/>
        <v>346.4</v>
      </c>
      <c r="I565" s="4"/>
      <c r="J565" s="4">
        <v>0.06</v>
      </c>
      <c r="K565" s="5">
        <f t="shared" si="119"/>
        <v>308.39999999999998</v>
      </c>
      <c r="L565" s="4">
        <v>38</v>
      </c>
      <c r="M565" s="7">
        <f t="shared" si="120"/>
        <v>1.0673929961089494</v>
      </c>
      <c r="N565" s="6"/>
    </row>
    <row r="566" spans="1:14" x14ac:dyDescent="0.25">
      <c r="A566" s="4">
        <v>5150</v>
      </c>
      <c r="B566" s="5">
        <f t="shared" si="113"/>
        <v>5497</v>
      </c>
      <c r="C566" s="5">
        <f t="shared" si="114"/>
        <v>1639.2959138465221</v>
      </c>
      <c r="D566" s="34">
        <f t="shared" si="115"/>
        <v>1651.2959138465221</v>
      </c>
      <c r="E566" s="34">
        <f t="shared" si="116"/>
        <v>5187.6991118430778</v>
      </c>
      <c r="F566" s="39">
        <f t="shared" si="117"/>
        <v>2593.8495559215389</v>
      </c>
      <c r="G566" s="46">
        <f t="shared" si="112"/>
        <v>1.06</v>
      </c>
      <c r="H566" s="5">
        <f t="shared" si="118"/>
        <v>347</v>
      </c>
      <c r="I566" s="4"/>
      <c r="J566" s="4">
        <v>0.06</v>
      </c>
      <c r="K566" s="5">
        <f t="shared" si="119"/>
        <v>309</v>
      </c>
      <c r="L566" s="4">
        <v>38</v>
      </c>
      <c r="M566" s="7">
        <f t="shared" si="120"/>
        <v>1.067378640776699</v>
      </c>
      <c r="N566" s="6"/>
    </row>
    <row r="567" spans="1:14" x14ac:dyDescent="0.25">
      <c r="A567" s="4">
        <v>5160</v>
      </c>
      <c r="B567" s="5">
        <f t="shared" si="113"/>
        <v>5507.6</v>
      </c>
      <c r="C567" s="5">
        <f t="shared" si="114"/>
        <v>1642.47901270836</v>
      </c>
      <c r="D567" s="34">
        <f t="shared" si="115"/>
        <v>1654.47901270836</v>
      </c>
      <c r="E567" s="34">
        <f t="shared" si="116"/>
        <v>5197.6991118430778</v>
      </c>
      <c r="F567" s="39">
        <f t="shared" si="117"/>
        <v>2598.8495559215389</v>
      </c>
      <c r="G567" s="46">
        <f t="shared" si="112"/>
        <v>1.06</v>
      </c>
      <c r="H567" s="5">
        <f t="shared" si="118"/>
        <v>347.59999999999997</v>
      </c>
      <c r="I567" s="4"/>
      <c r="J567" s="4">
        <v>0.06</v>
      </c>
      <c r="K567" s="5">
        <f t="shared" si="119"/>
        <v>309.59999999999997</v>
      </c>
      <c r="L567" s="4">
        <v>38</v>
      </c>
      <c r="M567" s="7">
        <f t="shared" si="120"/>
        <v>1.0673643410852713</v>
      </c>
      <c r="N567" s="6"/>
    </row>
    <row r="568" spans="1:14" x14ac:dyDescent="0.25">
      <c r="A568" s="4">
        <v>5170</v>
      </c>
      <c r="B568" s="5">
        <f t="shared" si="113"/>
        <v>5518.2</v>
      </c>
      <c r="C568" s="5">
        <f t="shared" si="114"/>
        <v>1645.6621115701978</v>
      </c>
      <c r="D568" s="34">
        <f t="shared" si="115"/>
        <v>1657.6621115701978</v>
      </c>
      <c r="E568" s="34">
        <f t="shared" si="116"/>
        <v>5207.6991118430769</v>
      </c>
      <c r="F568" s="39">
        <f t="shared" si="117"/>
        <v>2603.8495559215385</v>
      </c>
      <c r="G568" s="46">
        <f t="shared" si="112"/>
        <v>1.06</v>
      </c>
      <c r="H568" s="5">
        <f t="shared" si="118"/>
        <v>348.2</v>
      </c>
      <c r="I568" s="4"/>
      <c r="J568" s="4">
        <v>0.06</v>
      </c>
      <c r="K568" s="5">
        <f t="shared" si="119"/>
        <v>310.2</v>
      </c>
      <c r="L568" s="4">
        <v>38</v>
      </c>
      <c r="M568" s="7">
        <f t="shared" si="120"/>
        <v>1.0673500967117988</v>
      </c>
      <c r="N568" s="6"/>
    </row>
    <row r="569" spans="1:14" x14ac:dyDescent="0.25">
      <c r="A569" s="4">
        <v>5180</v>
      </c>
      <c r="B569" s="5">
        <f t="shared" si="113"/>
        <v>5528.8</v>
      </c>
      <c r="C569" s="5">
        <f t="shared" si="114"/>
        <v>1648.8452104320359</v>
      </c>
      <c r="D569" s="34">
        <f t="shared" si="115"/>
        <v>1660.8452104320359</v>
      </c>
      <c r="E569" s="34">
        <f t="shared" si="116"/>
        <v>5217.6991118430778</v>
      </c>
      <c r="F569" s="39">
        <f t="shared" si="117"/>
        <v>2608.8495559215389</v>
      </c>
      <c r="G569" s="46">
        <f t="shared" si="112"/>
        <v>1.06</v>
      </c>
      <c r="H569" s="5">
        <f t="shared" si="118"/>
        <v>348.8</v>
      </c>
      <c r="I569" s="4"/>
      <c r="J569" s="4">
        <v>0.06</v>
      </c>
      <c r="K569" s="5">
        <f t="shared" si="119"/>
        <v>310.8</v>
      </c>
      <c r="L569" s="4">
        <v>38</v>
      </c>
      <c r="M569" s="7">
        <f t="shared" si="120"/>
        <v>1.0673359073359074</v>
      </c>
      <c r="N569" s="6"/>
    </row>
    <row r="570" spans="1:14" x14ac:dyDescent="0.25">
      <c r="A570" s="4">
        <v>5190</v>
      </c>
      <c r="B570" s="5">
        <f t="shared" si="113"/>
        <v>5539.4</v>
      </c>
      <c r="C570" s="5">
        <f t="shared" si="114"/>
        <v>1652.0283092938737</v>
      </c>
      <c r="D570" s="34">
        <f t="shared" si="115"/>
        <v>1664.0283092938737</v>
      </c>
      <c r="E570" s="34">
        <f t="shared" si="116"/>
        <v>5227.6991118430778</v>
      </c>
      <c r="F570" s="39">
        <f t="shared" si="117"/>
        <v>2613.8495559215389</v>
      </c>
      <c r="G570" s="46">
        <f t="shared" si="112"/>
        <v>1.06</v>
      </c>
      <c r="H570" s="5">
        <f t="shared" si="118"/>
        <v>349.4</v>
      </c>
      <c r="I570" s="4"/>
      <c r="J570" s="4">
        <v>0.06</v>
      </c>
      <c r="K570" s="5">
        <f t="shared" si="119"/>
        <v>311.39999999999998</v>
      </c>
      <c r="L570" s="4">
        <v>38</v>
      </c>
      <c r="M570" s="7">
        <f t="shared" si="120"/>
        <v>1.0673217726396917</v>
      </c>
      <c r="N570" s="6"/>
    </row>
    <row r="571" spans="1:14" x14ac:dyDescent="0.25">
      <c r="A571" s="4">
        <v>5200</v>
      </c>
      <c r="B571" s="5">
        <f t="shared" si="113"/>
        <v>5550</v>
      </c>
      <c r="C571" s="5">
        <f t="shared" si="114"/>
        <v>1655.2114081557115</v>
      </c>
      <c r="D571" s="34">
        <f t="shared" si="115"/>
        <v>1667.2114081557115</v>
      </c>
      <c r="E571" s="34">
        <f t="shared" si="116"/>
        <v>5237.6991118430778</v>
      </c>
      <c r="F571" s="39">
        <f t="shared" si="117"/>
        <v>2618.8495559215389</v>
      </c>
      <c r="G571" s="46">
        <f t="shared" si="112"/>
        <v>1.06</v>
      </c>
      <c r="H571" s="5">
        <f t="shared" si="118"/>
        <v>350</v>
      </c>
      <c r="I571" s="4"/>
      <c r="J571" s="4">
        <v>0.06</v>
      </c>
      <c r="K571" s="5">
        <f t="shared" si="119"/>
        <v>312</v>
      </c>
      <c r="L571" s="4">
        <v>38</v>
      </c>
      <c r="M571" s="7">
        <f t="shared" si="120"/>
        <v>1.0673076923076923</v>
      </c>
      <c r="N571" s="6"/>
    </row>
    <row r="572" spans="1:14" x14ac:dyDescent="0.25">
      <c r="A572" s="4">
        <v>5210</v>
      </c>
      <c r="B572" s="5">
        <f t="shared" si="113"/>
        <v>5560.6</v>
      </c>
      <c r="C572" s="5">
        <f t="shared" si="114"/>
        <v>1658.3945070175494</v>
      </c>
      <c r="D572" s="34">
        <f t="shared" si="115"/>
        <v>1670.3945070175494</v>
      </c>
      <c r="E572" s="34">
        <f t="shared" si="116"/>
        <v>5247.6991118430769</v>
      </c>
      <c r="F572" s="39">
        <f t="shared" si="117"/>
        <v>2623.8495559215385</v>
      </c>
      <c r="G572" s="46">
        <f t="shared" si="112"/>
        <v>1.06</v>
      </c>
      <c r="H572" s="5">
        <f t="shared" si="118"/>
        <v>350.59999999999997</v>
      </c>
      <c r="I572" s="4"/>
      <c r="J572" s="4">
        <v>0.06</v>
      </c>
      <c r="K572" s="5">
        <f t="shared" si="119"/>
        <v>312.59999999999997</v>
      </c>
      <c r="L572" s="4">
        <v>38</v>
      </c>
      <c r="M572" s="7">
        <f t="shared" si="120"/>
        <v>1.0672936660268715</v>
      </c>
      <c r="N572" s="6"/>
    </row>
    <row r="573" spans="1:14" x14ac:dyDescent="0.25">
      <c r="A573" s="4">
        <v>5220</v>
      </c>
      <c r="B573" s="5">
        <f t="shared" si="113"/>
        <v>5571.2</v>
      </c>
      <c r="C573" s="5">
        <f t="shared" si="114"/>
        <v>1661.5776058793874</v>
      </c>
      <c r="D573" s="34">
        <f t="shared" si="115"/>
        <v>1673.5776058793874</v>
      </c>
      <c r="E573" s="34">
        <f t="shared" si="116"/>
        <v>5257.6991118430778</v>
      </c>
      <c r="F573" s="39">
        <f t="shared" si="117"/>
        <v>2628.8495559215389</v>
      </c>
      <c r="G573" s="46">
        <f t="shared" si="112"/>
        <v>1.06</v>
      </c>
      <c r="H573" s="5">
        <f t="shared" si="118"/>
        <v>351.2</v>
      </c>
      <c r="I573" s="4"/>
      <c r="J573" s="4">
        <v>0.06</v>
      </c>
      <c r="K573" s="5">
        <f t="shared" si="119"/>
        <v>313.2</v>
      </c>
      <c r="L573" s="4">
        <v>38</v>
      </c>
      <c r="M573" s="7">
        <f t="shared" si="120"/>
        <v>1.06727969348659</v>
      </c>
      <c r="N573" s="6"/>
    </row>
    <row r="574" spans="1:14" x14ac:dyDescent="0.25">
      <c r="A574" s="4">
        <v>5230</v>
      </c>
      <c r="B574" s="5">
        <f t="shared" si="113"/>
        <v>5581.8</v>
      </c>
      <c r="C574" s="5">
        <f t="shared" si="114"/>
        <v>1664.7607047412253</v>
      </c>
      <c r="D574" s="34">
        <f t="shared" si="115"/>
        <v>1676.7607047412253</v>
      </c>
      <c r="E574" s="34">
        <f t="shared" si="116"/>
        <v>5267.6991118430778</v>
      </c>
      <c r="F574" s="39">
        <f t="shared" si="117"/>
        <v>2633.8495559215389</v>
      </c>
      <c r="G574" s="46">
        <f t="shared" si="112"/>
        <v>1.06</v>
      </c>
      <c r="H574" s="5">
        <f t="shared" si="118"/>
        <v>351.8</v>
      </c>
      <c r="I574" s="4"/>
      <c r="J574" s="4">
        <v>0.06</v>
      </c>
      <c r="K574" s="5">
        <f t="shared" si="119"/>
        <v>313.8</v>
      </c>
      <c r="L574" s="4">
        <v>38</v>
      </c>
      <c r="M574" s="7">
        <f t="shared" si="120"/>
        <v>1.0672657743785852</v>
      </c>
      <c r="N574" s="6"/>
    </row>
    <row r="575" spans="1:14" x14ac:dyDescent="0.25">
      <c r="A575" s="4">
        <v>5240</v>
      </c>
      <c r="B575" s="5">
        <f t="shared" si="113"/>
        <v>5592.4</v>
      </c>
      <c r="C575" s="5">
        <f t="shared" si="114"/>
        <v>1667.9438036030631</v>
      </c>
      <c r="D575" s="34">
        <f t="shared" si="115"/>
        <v>1679.9438036030631</v>
      </c>
      <c r="E575" s="34">
        <f t="shared" si="116"/>
        <v>5277.6991118430769</v>
      </c>
      <c r="F575" s="39">
        <f t="shared" si="117"/>
        <v>2638.8495559215385</v>
      </c>
      <c r="G575" s="46">
        <f t="shared" si="112"/>
        <v>1.06</v>
      </c>
      <c r="H575" s="5">
        <f t="shared" si="118"/>
        <v>352.4</v>
      </c>
      <c r="I575" s="4"/>
      <c r="J575" s="4">
        <v>0.06</v>
      </c>
      <c r="K575" s="5">
        <f t="shared" si="119"/>
        <v>314.39999999999998</v>
      </c>
      <c r="L575" s="4">
        <v>38</v>
      </c>
      <c r="M575" s="7">
        <f t="shared" si="120"/>
        <v>1.0672519083969465</v>
      </c>
      <c r="N575" s="6"/>
    </row>
    <row r="576" spans="1:14" x14ac:dyDescent="0.25">
      <c r="A576" s="4">
        <v>5250</v>
      </c>
      <c r="B576" s="5">
        <f t="shared" si="113"/>
        <v>5603</v>
      </c>
      <c r="C576" s="5">
        <f t="shared" si="114"/>
        <v>1671.1269024649011</v>
      </c>
      <c r="D576" s="34">
        <f t="shared" si="115"/>
        <v>1683.1269024649011</v>
      </c>
      <c r="E576" s="34">
        <f t="shared" si="116"/>
        <v>5287.6991118430778</v>
      </c>
      <c r="F576" s="39">
        <f t="shared" si="117"/>
        <v>2643.8495559215389</v>
      </c>
      <c r="G576" s="46">
        <f t="shared" si="112"/>
        <v>1.06</v>
      </c>
      <c r="H576" s="5">
        <f t="shared" si="118"/>
        <v>353</v>
      </c>
      <c r="I576" s="4"/>
      <c r="J576" s="4">
        <v>0.06</v>
      </c>
      <c r="K576" s="5">
        <f t="shared" si="119"/>
        <v>315</v>
      </c>
      <c r="L576" s="4">
        <v>38</v>
      </c>
      <c r="M576" s="7">
        <f t="shared" si="120"/>
        <v>1.0672380952380953</v>
      </c>
      <c r="N576" s="6"/>
    </row>
    <row r="577" spans="1:14" x14ac:dyDescent="0.25">
      <c r="A577" s="4">
        <v>5260</v>
      </c>
      <c r="B577" s="5">
        <f t="shared" si="113"/>
        <v>5613.6</v>
      </c>
      <c r="C577" s="5">
        <f t="shared" si="114"/>
        <v>1674.310001326739</v>
      </c>
      <c r="D577" s="34">
        <f t="shared" si="115"/>
        <v>1686.310001326739</v>
      </c>
      <c r="E577" s="34">
        <f t="shared" si="116"/>
        <v>5297.6991118430778</v>
      </c>
      <c r="F577" s="39">
        <f t="shared" si="117"/>
        <v>2648.8495559215389</v>
      </c>
      <c r="G577" s="46">
        <f t="shared" si="112"/>
        <v>1.06</v>
      </c>
      <c r="H577" s="5">
        <f t="shared" si="118"/>
        <v>353.59999999999997</v>
      </c>
      <c r="I577" s="4"/>
      <c r="J577" s="4">
        <v>0.06</v>
      </c>
      <c r="K577" s="5">
        <f t="shared" si="119"/>
        <v>315.59999999999997</v>
      </c>
      <c r="L577" s="4">
        <v>38</v>
      </c>
      <c r="M577" s="7">
        <f t="shared" si="120"/>
        <v>1.0672243346007606</v>
      </c>
      <c r="N577" s="6"/>
    </row>
    <row r="578" spans="1:14" x14ac:dyDescent="0.25">
      <c r="A578" s="4">
        <v>5270</v>
      </c>
      <c r="B578" s="5">
        <f t="shared" si="113"/>
        <v>5624.2</v>
      </c>
      <c r="C578" s="5">
        <f t="shared" si="114"/>
        <v>1677.4931001885768</v>
      </c>
      <c r="D578" s="34">
        <f t="shared" si="115"/>
        <v>1689.4931001885768</v>
      </c>
      <c r="E578" s="34">
        <f t="shared" si="116"/>
        <v>5307.6991118430769</v>
      </c>
      <c r="F578" s="39">
        <f t="shared" si="117"/>
        <v>2653.8495559215385</v>
      </c>
      <c r="G578" s="46">
        <f t="shared" si="112"/>
        <v>1.06</v>
      </c>
      <c r="H578" s="5">
        <f t="shared" si="118"/>
        <v>354.2</v>
      </c>
      <c r="I578" s="4"/>
      <c r="J578" s="4">
        <v>0.06</v>
      </c>
      <c r="K578" s="5">
        <f t="shared" si="119"/>
        <v>316.2</v>
      </c>
      <c r="L578" s="4">
        <v>38</v>
      </c>
      <c r="M578" s="7">
        <f t="shared" si="120"/>
        <v>1.0672106261859582</v>
      </c>
      <c r="N578" s="6"/>
    </row>
    <row r="579" spans="1:14" x14ac:dyDescent="0.25">
      <c r="A579" s="4">
        <v>5280</v>
      </c>
      <c r="B579" s="5">
        <f t="shared" si="113"/>
        <v>5634.8</v>
      </c>
      <c r="C579" s="5">
        <f t="shared" si="114"/>
        <v>1680.6761990504149</v>
      </c>
      <c r="D579" s="34">
        <f t="shared" si="115"/>
        <v>1692.6761990504149</v>
      </c>
      <c r="E579" s="34">
        <f t="shared" si="116"/>
        <v>5317.6991118430778</v>
      </c>
      <c r="F579" s="39">
        <f t="shared" si="117"/>
        <v>2658.8495559215389</v>
      </c>
      <c r="G579" s="46">
        <f t="shared" si="112"/>
        <v>1.06</v>
      </c>
      <c r="H579" s="5">
        <f t="shared" si="118"/>
        <v>354.8</v>
      </c>
      <c r="I579" s="4"/>
      <c r="J579" s="4">
        <v>0.06</v>
      </c>
      <c r="K579" s="5">
        <f t="shared" si="119"/>
        <v>316.8</v>
      </c>
      <c r="L579" s="4">
        <v>38</v>
      </c>
      <c r="M579" s="7">
        <f t="shared" si="120"/>
        <v>1.0671969696969696</v>
      </c>
      <c r="N579" s="6"/>
    </row>
    <row r="580" spans="1:14" x14ac:dyDescent="0.25">
      <c r="A580" s="4">
        <v>5290</v>
      </c>
      <c r="B580" s="5">
        <f t="shared" si="113"/>
        <v>5645.4</v>
      </c>
      <c r="C580" s="5">
        <f t="shared" si="114"/>
        <v>1683.8592979122527</v>
      </c>
      <c r="D580" s="34">
        <f t="shared" si="115"/>
        <v>1695.8592979122527</v>
      </c>
      <c r="E580" s="34">
        <f t="shared" si="116"/>
        <v>5327.6991118430778</v>
      </c>
      <c r="F580" s="39">
        <f t="shared" si="117"/>
        <v>2663.8495559215389</v>
      </c>
      <c r="G580" s="46">
        <f t="shared" si="112"/>
        <v>1.06</v>
      </c>
      <c r="H580" s="5">
        <f t="shared" si="118"/>
        <v>355.4</v>
      </c>
      <c r="I580" s="4"/>
      <c r="J580" s="4">
        <v>0.06</v>
      </c>
      <c r="K580" s="5">
        <f t="shared" si="119"/>
        <v>317.39999999999998</v>
      </c>
      <c r="L580" s="4">
        <v>38</v>
      </c>
      <c r="M580" s="7">
        <f t="shared" si="120"/>
        <v>1.0671833648393194</v>
      </c>
      <c r="N580" s="6"/>
    </row>
    <row r="581" spans="1:14" x14ac:dyDescent="0.25">
      <c r="A581" s="4">
        <v>5300</v>
      </c>
      <c r="B581" s="5">
        <f t="shared" si="113"/>
        <v>5656</v>
      </c>
      <c r="C581" s="5">
        <f t="shared" si="114"/>
        <v>1687.0423967740905</v>
      </c>
      <c r="D581" s="34">
        <f t="shared" si="115"/>
        <v>1699.0423967740905</v>
      </c>
      <c r="E581" s="34">
        <f t="shared" si="116"/>
        <v>5337.6991118430769</v>
      </c>
      <c r="F581" s="39">
        <f t="shared" si="117"/>
        <v>2668.8495559215385</v>
      </c>
      <c r="G581" s="46">
        <f t="shared" si="112"/>
        <v>1.06</v>
      </c>
      <c r="H581" s="5">
        <f t="shared" si="118"/>
        <v>356</v>
      </c>
      <c r="I581" s="4"/>
      <c r="J581" s="4">
        <v>0.06</v>
      </c>
      <c r="K581" s="5">
        <f t="shared" si="119"/>
        <v>318</v>
      </c>
      <c r="L581" s="4">
        <v>38</v>
      </c>
      <c r="M581" s="7">
        <f t="shared" si="120"/>
        <v>1.0671698113207546</v>
      </c>
      <c r="N581" s="6"/>
    </row>
    <row r="582" spans="1:14" x14ac:dyDescent="0.25">
      <c r="A582" s="4">
        <v>5310</v>
      </c>
      <c r="B582" s="5">
        <f t="shared" si="113"/>
        <v>5666.6</v>
      </c>
      <c r="C582" s="5">
        <f t="shared" si="114"/>
        <v>1690.2254956359286</v>
      </c>
      <c r="D582" s="34">
        <f t="shared" si="115"/>
        <v>1702.2254956359286</v>
      </c>
      <c r="E582" s="34">
        <f t="shared" si="116"/>
        <v>5347.6991118430778</v>
      </c>
      <c r="F582" s="39">
        <f t="shared" si="117"/>
        <v>2673.8495559215389</v>
      </c>
      <c r="G582" s="46">
        <f t="shared" ref="G582:G645" si="121">ROUNDUP(B582/E582,2)</f>
        <v>1.06</v>
      </c>
      <c r="H582" s="5">
        <f t="shared" si="118"/>
        <v>356.59999999999997</v>
      </c>
      <c r="I582" s="4"/>
      <c r="J582" s="4">
        <v>0.06</v>
      </c>
      <c r="K582" s="5">
        <f t="shared" si="119"/>
        <v>318.59999999999997</v>
      </c>
      <c r="L582" s="4">
        <v>38</v>
      </c>
      <c r="M582" s="7">
        <f t="shared" si="120"/>
        <v>1.0671563088512241</v>
      </c>
      <c r="N582" s="6"/>
    </row>
    <row r="583" spans="1:14" x14ac:dyDescent="0.25">
      <c r="A583" s="4">
        <v>5320</v>
      </c>
      <c r="B583" s="5">
        <f t="shared" si="113"/>
        <v>5677.2</v>
      </c>
      <c r="C583" s="5">
        <f t="shared" si="114"/>
        <v>1693.4085944977664</v>
      </c>
      <c r="D583" s="34">
        <f t="shared" si="115"/>
        <v>1705.4085944977664</v>
      </c>
      <c r="E583" s="34">
        <f t="shared" si="116"/>
        <v>5357.6991118430778</v>
      </c>
      <c r="F583" s="39">
        <f t="shared" si="117"/>
        <v>2678.8495559215389</v>
      </c>
      <c r="G583" s="46">
        <f t="shared" si="121"/>
        <v>1.06</v>
      </c>
      <c r="H583" s="5">
        <f t="shared" si="118"/>
        <v>357.2</v>
      </c>
      <c r="I583" s="4"/>
      <c r="J583" s="4">
        <v>0.06</v>
      </c>
      <c r="K583" s="5">
        <f t="shared" si="119"/>
        <v>319.2</v>
      </c>
      <c r="L583" s="4">
        <v>38</v>
      </c>
      <c r="M583" s="7">
        <f t="shared" si="120"/>
        <v>1.0671428571428572</v>
      </c>
      <c r="N583" s="6"/>
    </row>
    <row r="584" spans="1:14" x14ac:dyDescent="0.25">
      <c r="A584" s="4">
        <v>5330</v>
      </c>
      <c r="B584" s="5">
        <f t="shared" si="113"/>
        <v>5687.8</v>
      </c>
      <c r="C584" s="5">
        <f t="shared" si="114"/>
        <v>1696.5916933596043</v>
      </c>
      <c r="D584" s="34">
        <f t="shared" si="115"/>
        <v>1708.5916933596043</v>
      </c>
      <c r="E584" s="34">
        <f t="shared" si="116"/>
        <v>5367.6991118430769</v>
      </c>
      <c r="F584" s="39">
        <f t="shared" si="117"/>
        <v>2683.8495559215385</v>
      </c>
      <c r="G584" s="46">
        <f t="shared" si="121"/>
        <v>1.06</v>
      </c>
      <c r="H584" s="5">
        <f t="shared" si="118"/>
        <v>357.8</v>
      </c>
      <c r="I584" s="4"/>
      <c r="J584" s="4">
        <v>0.06</v>
      </c>
      <c r="K584" s="5">
        <f t="shared" si="119"/>
        <v>319.8</v>
      </c>
      <c r="L584" s="4">
        <v>38</v>
      </c>
      <c r="M584" s="7">
        <f t="shared" si="120"/>
        <v>1.0671294559099438</v>
      </c>
      <c r="N584" s="6"/>
    </row>
    <row r="585" spans="1:14" x14ac:dyDescent="0.25">
      <c r="A585" s="4">
        <v>5340</v>
      </c>
      <c r="B585" s="5">
        <f t="shared" si="113"/>
        <v>5698.4</v>
      </c>
      <c r="C585" s="5">
        <f t="shared" si="114"/>
        <v>1699.7747922214423</v>
      </c>
      <c r="D585" s="34">
        <f t="shared" si="115"/>
        <v>1711.7747922214423</v>
      </c>
      <c r="E585" s="34">
        <f t="shared" si="116"/>
        <v>5377.6991118430778</v>
      </c>
      <c r="F585" s="39">
        <f t="shared" si="117"/>
        <v>2688.8495559215389</v>
      </c>
      <c r="G585" s="46">
        <f t="shared" si="121"/>
        <v>1.06</v>
      </c>
      <c r="H585" s="5">
        <f t="shared" si="118"/>
        <v>358.4</v>
      </c>
      <c r="I585" s="4"/>
      <c r="J585" s="4">
        <v>0.06</v>
      </c>
      <c r="K585" s="5">
        <f t="shared" si="119"/>
        <v>320.39999999999998</v>
      </c>
      <c r="L585" s="4">
        <v>38</v>
      </c>
      <c r="M585" s="7">
        <f t="shared" si="120"/>
        <v>1.0671161048689137</v>
      </c>
      <c r="N585" s="6"/>
    </row>
    <row r="586" spans="1:14" x14ac:dyDescent="0.25">
      <c r="A586" s="4">
        <v>5350</v>
      </c>
      <c r="B586" s="5">
        <f t="shared" si="113"/>
        <v>5709</v>
      </c>
      <c r="C586" s="5">
        <f t="shared" si="114"/>
        <v>1702.9578910832802</v>
      </c>
      <c r="D586" s="34">
        <f t="shared" si="115"/>
        <v>1714.9578910832802</v>
      </c>
      <c r="E586" s="34">
        <f t="shared" si="116"/>
        <v>5387.6991118430778</v>
      </c>
      <c r="F586" s="39">
        <f t="shared" si="117"/>
        <v>2693.8495559215389</v>
      </c>
      <c r="G586" s="46">
        <f t="shared" si="121"/>
        <v>1.06</v>
      </c>
      <c r="H586" s="5">
        <f t="shared" si="118"/>
        <v>359</v>
      </c>
      <c r="I586" s="4"/>
      <c r="J586" s="4">
        <v>0.06</v>
      </c>
      <c r="K586" s="5">
        <f t="shared" si="119"/>
        <v>321</v>
      </c>
      <c r="L586" s="4">
        <v>38</v>
      </c>
      <c r="M586" s="7">
        <f t="shared" si="120"/>
        <v>1.0671028037383177</v>
      </c>
      <c r="N586" s="6"/>
    </row>
    <row r="587" spans="1:14" x14ac:dyDescent="0.25">
      <c r="A587" s="4">
        <v>5360</v>
      </c>
      <c r="B587" s="5">
        <f t="shared" si="113"/>
        <v>5719.6</v>
      </c>
      <c r="C587" s="5">
        <f t="shared" si="114"/>
        <v>1706.140989945118</v>
      </c>
      <c r="D587" s="34">
        <f t="shared" si="115"/>
        <v>1718.140989945118</v>
      </c>
      <c r="E587" s="34">
        <f t="shared" si="116"/>
        <v>5397.6991118430769</v>
      </c>
      <c r="F587" s="39">
        <f t="shared" si="117"/>
        <v>2698.8495559215385</v>
      </c>
      <c r="G587" s="46">
        <f t="shared" si="121"/>
        <v>1.06</v>
      </c>
      <c r="H587" s="5">
        <f t="shared" si="118"/>
        <v>359.59999999999997</v>
      </c>
      <c r="I587" s="4"/>
      <c r="J587" s="4">
        <v>0.06</v>
      </c>
      <c r="K587" s="5">
        <f t="shared" si="119"/>
        <v>321.59999999999997</v>
      </c>
      <c r="L587" s="4">
        <v>38</v>
      </c>
      <c r="M587" s="7">
        <f t="shared" si="120"/>
        <v>1.067089552238806</v>
      </c>
      <c r="N587" s="6"/>
    </row>
    <row r="588" spans="1:14" x14ac:dyDescent="0.25">
      <c r="A588" s="4">
        <v>5370</v>
      </c>
      <c r="B588" s="5">
        <f t="shared" si="113"/>
        <v>5730.2</v>
      </c>
      <c r="C588" s="5">
        <f t="shared" si="114"/>
        <v>1709.3240888069561</v>
      </c>
      <c r="D588" s="34">
        <f t="shared" si="115"/>
        <v>1721.3240888069561</v>
      </c>
      <c r="E588" s="34">
        <f t="shared" si="116"/>
        <v>5407.6991118430778</v>
      </c>
      <c r="F588" s="39">
        <f t="shared" si="117"/>
        <v>2703.8495559215389</v>
      </c>
      <c r="G588" s="46">
        <f t="shared" si="121"/>
        <v>1.06</v>
      </c>
      <c r="H588" s="5">
        <f t="shared" si="118"/>
        <v>360.2</v>
      </c>
      <c r="I588" s="4"/>
      <c r="J588" s="4">
        <v>0.06</v>
      </c>
      <c r="K588" s="5">
        <f t="shared" si="119"/>
        <v>322.2</v>
      </c>
      <c r="L588" s="4">
        <v>38</v>
      </c>
      <c r="M588" s="7">
        <f t="shared" si="120"/>
        <v>1.0670763500931097</v>
      </c>
      <c r="N588" s="6"/>
    </row>
    <row r="589" spans="1:14" x14ac:dyDescent="0.25">
      <c r="A589" s="4">
        <v>5380</v>
      </c>
      <c r="B589" s="5">
        <f t="shared" si="113"/>
        <v>5740.8</v>
      </c>
      <c r="C589" s="5">
        <f t="shared" si="114"/>
        <v>1712.5071876687939</v>
      </c>
      <c r="D589" s="34">
        <f t="shared" si="115"/>
        <v>1724.5071876687939</v>
      </c>
      <c r="E589" s="34">
        <f t="shared" si="116"/>
        <v>5417.6991118430778</v>
      </c>
      <c r="F589" s="39">
        <f t="shared" si="117"/>
        <v>2708.8495559215389</v>
      </c>
      <c r="G589" s="46">
        <f t="shared" si="121"/>
        <v>1.06</v>
      </c>
      <c r="H589" s="5">
        <f t="shared" si="118"/>
        <v>360.8</v>
      </c>
      <c r="I589" s="4"/>
      <c r="J589" s="4">
        <v>0.06</v>
      </c>
      <c r="K589" s="5">
        <f t="shared" si="119"/>
        <v>322.8</v>
      </c>
      <c r="L589" s="4">
        <v>38</v>
      </c>
      <c r="M589" s="7">
        <f t="shared" si="120"/>
        <v>1.0670631970260223</v>
      </c>
      <c r="N589" s="6"/>
    </row>
    <row r="590" spans="1:14" x14ac:dyDescent="0.25">
      <c r="A590" s="4">
        <v>5390</v>
      </c>
      <c r="B590" s="5">
        <f t="shared" si="113"/>
        <v>5751.4</v>
      </c>
      <c r="C590" s="5">
        <f t="shared" si="114"/>
        <v>1715.6902865306317</v>
      </c>
      <c r="D590" s="34">
        <f t="shared" si="115"/>
        <v>1727.6902865306317</v>
      </c>
      <c r="E590" s="34">
        <f t="shared" si="116"/>
        <v>5427.6991118430769</v>
      </c>
      <c r="F590" s="39">
        <f t="shared" si="117"/>
        <v>2713.8495559215385</v>
      </c>
      <c r="G590" s="46">
        <f t="shared" si="121"/>
        <v>1.06</v>
      </c>
      <c r="H590" s="5">
        <f t="shared" si="118"/>
        <v>361.4</v>
      </c>
      <c r="I590" s="4"/>
      <c r="J590" s="4">
        <v>0.06</v>
      </c>
      <c r="K590" s="5">
        <f t="shared" si="119"/>
        <v>323.39999999999998</v>
      </c>
      <c r="L590" s="4">
        <v>38</v>
      </c>
      <c r="M590" s="7">
        <f t="shared" si="120"/>
        <v>1.0670500927643785</v>
      </c>
      <c r="N590" s="6"/>
    </row>
    <row r="591" spans="1:14" x14ac:dyDescent="0.25">
      <c r="A591" s="4">
        <v>5400</v>
      </c>
      <c r="B591" s="5">
        <f t="shared" si="113"/>
        <v>5762</v>
      </c>
      <c r="C591" s="5">
        <f t="shared" si="114"/>
        <v>1718.8733853924698</v>
      </c>
      <c r="D591" s="34">
        <f t="shared" si="115"/>
        <v>1730.8733853924698</v>
      </c>
      <c r="E591" s="34">
        <f t="shared" si="116"/>
        <v>5437.6991118430778</v>
      </c>
      <c r="F591" s="39">
        <f t="shared" si="117"/>
        <v>2718.8495559215389</v>
      </c>
      <c r="G591" s="46">
        <f t="shared" si="121"/>
        <v>1.06</v>
      </c>
      <c r="H591" s="5">
        <f t="shared" si="118"/>
        <v>362</v>
      </c>
      <c r="I591" s="4"/>
      <c r="J591" s="4">
        <v>0.06</v>
      </c>
      <c r="K591" s="5">
        <f t="shared" si="119"/>
        <v>324</v>
      </c>
      <c r="L591" s="4">
        <v>38</v>
      </c>
      <c r="M591" s="7">
        <f t="shared" si="120"/>
        <v>1.067037037037037</v>
      </c>
      <c r="N591" s="6"/>
    </row>
    <row r="592" spans="1:14" x14ac:dyDescent="0.25">
      <c r="A592" s="4">
        <v>5410</v>
      </c>
      <c r="B592" s="5">
        <f t="shared" si="113"/>
        <v>5772.6</v>
      </c>
      <c r="C592" s="5">
        <f t="shared" si="114"/>
        <v>1722.0564842543076</v>
      </c>
      <c r="D592" s="34">
        <f t="shared" si="115"/>
        <v>1734.0564842543076</v>
      </c>
      <c r="E592" s="34">
        <f t="shared" si="116"/>
        <v>5447.6991118430778</v>
      </c>
      <c r="F592" s="39">
        <f t="shared" si="117"/>
        <v>2723.8495559215389</v>
      </c>
      <c r="G592" s="46">
        <f t="shared" si="121"/>
        <v>1.06</v>
      </c>
      <c r="H592" s="5">
        <f t="shared" si="118"/>
        <v>362.59999999999997</v>
      </c>
      <c r="I592" s="4"/>
      <c r="J592" s="4">
        <v>0.06</v>
      </c>
      <c r="K592" s="5">
        <f t="shared" si="119"/>
        <v>324.59999999999997</v>
      </c>
      <c r="L592" s="4">
        <v>38</v>
      </c>
      <c r="M592" s="7">
        <f t="shared" si="120"/>
        <v>1.0670240295748614</v>
      </c>
      <c r="N592" s="6"/>
    </row>
    <row r="593" spans="1:14" x14ac:dyDescent="0.25">
      <c r="A593" s="4">
        <v>5420</v>
      </c>
      <c r="B593" s="5">
        <f t="shared" si="113"/>
        <v>5783.2</v>
      </c>
      <c r="C593" s="5">
        <f t="shared" si="114"/>
        <v>1725.2395831161455</v>
      </c>
      <c r="D593" s="34">
        <f t="shared" si="115"/>
        <v>1737.2395831161455</v>
      </c>
      <c r="E593" s="34">
        <f t="shared" si="116"/>
        <v>5457.6991118430778</v>
      </c>
      <c r="F593" s="39">
        <f t="shared" si="117"/>
        <v>2728.8495559215389</v>
      </c>
      <c r="G593" s="46">
        <f t="shared" si="121"/>
        <v>1.06</v>
      </c>
      <c r="H593" s="5">
        <f t="shared" si="118"/>
        <v>363.2</v>
      </c>
      <c r="I593" s="4"/>
      <c r="J593" s="4">
        <v>0.06</v>
      </c>
      <c r="K593" s="5">
        <f t="shared" si="119"/>
        <v>325.2</v>
      </c>
      <c r="L593" s="4">
        <v>38</v>
      </c>
      <c r="M593" s="7">
        <f t="shared" si="120"/>
        <v>1.0670110701107012</v>
      </c>
      <c r="N593" s="6"/>
    </row>
    <row r="594" spans="1:14" x14ac:dyDescent="0.25">
      <c r="A594" s="4">
        <v>5430</v>
      </c>
      <c r="B594" s="5">
        <f t="shared" si="113"/>
        <v>5793.8</v>
      </c>
      <c r="C594" s="5">
        <f t="shared" si="114"/>
        <v>1728.4226819779833</v>
      </c>
      <c r="D594" s="34">
        <f t="shared" si="115"/>
        <v>1740.4226819779833</v>
      </c>
      <c r="E594" s="34">
        <f t="shared" si="116"/>
        <v>5467.6991118430769</v>
      </c>
      <c r="F594" s="39">
        <f t="shared" si="117"/>
        <v>2733.8495559215385</v>
      </c>
      <c r="G594" s="46">
        <f t="shared" si="121"/>
        <v>1.06</v>
      </c>
      <c r="H594" s="5">
        <f t="shared" si="118"/>
        <v>363.8</v>
      </c>
      <c r="I594" s="4"/>
      <c r="J594" s="4">
        <v>0.06</v>
      </c>
      <c r="K594" s="5">
        <f t="shared" si="119"/>
        <v>325.8</v>
      </c>
      <c r="L594" s="4">
        <v>38</v>
      </c>
      <c r="M594" s="7">
        <f t="shared" si="120"/>
        <v>1.066998158379374</v>
      </c>
      <c r="N594" s="6"/>
    </row>
    <row r="595" spans="1:14" x14ac:dyDescent="0.25">
      <c r="A595" s="4">
        <v>5440</v>
      </c>
      <c r="B595" s="5">
        <f t="shared" si="113"/>
        <v>5804.4</v>
      </c>
      <c r="C595" s="5">
        <f t="shared" si="114"/>
        <v>1731.6057808398214</v>
      </c>
      <c r="D595" s="34">
        <f t="shared" si="115"/>
        <v>1743.6057808398214</v>
      </c>
      <c r="E595" s="34">
        <f t="shared" si="116"/>
        <v>5477.6991118430778</v>
      </c>
      <c r="F595" s="39">
        <f t="shared" si="117"/>
        <v>2738.8495559215389</v>
      </c>
      <c r="G595" s="46">
        <f t="shared" si="121"/>
        <v>1.06</v>
      </c>
      <c r="H595" s="5">
        <f t="shared" si="118"/>
        <v>364.4</v>
      </c>
      <c r="I595" s="4"/>
      <c r="J595" s="4">
        <v>0.06</v>
      </c>
      <c r="K595" s="5">
        <f t="shared" si="119"/>
        <v>326.39999999999998</v>
      </c>
      <c r="L595" s="4">
        <v>38</v>
      </c>
      <c r="M595" s="7">
        <f t="shared" si="120"/>
        <v>1.066985294117647</v>
      </c>
      <c r="N595" s="6"/>
    </row>
    <row r="596" spans="1:14" x14ac:dyDescent="0.25">
      <c r="A596" s="4">
        <v>5450</v>
      </c>
      <c r="B596" s="5">
        <f t="shared" si="113"/>
        <v>5815</v>
      </c>
      <c r="C596" s="5">
        <f t="shared" si="114"/>
        <v>1734.7888797016592</v>
      </c>
      <c r="D596" s="34">
        <f t="shared" si="115"/>
        <v>1746.7888797016592</v>
      </c>
      <c r="E596" s="34">
        <f t="shared" si="116"/>
        <v>5487.6991118430778</v>
      </c>
      <c r="F596" s="39">
        <f t="shared" si="117"/>
        <v>2743.8495559215389</v>
      </c>
      <c r="G596" s="46">
        <f t="shared" si="121"/>
        <v>1.06</v>
      </c>
      <c r="H596" s="5">
        <f t="shared" si="118"/>
        <v>365</v>
      </c>
      <c r="I596" s="4"/>
      <c r="J596" s="4">
        <v>0.06</v>
      </c>
      <c r="K596" s="5">
        <f t="shared" si="119"/>
        <v>327</v>
      </c>
      <c r="L596" s="4">
        <v>38</v>
      </c>
      <c r="M596" s="7">
        <f t="shared" si="120"/>
        <v>1.0669724770642202</v>
      </c>
      <c r="N596" s="6"/>
    </row>
    <row r="597" spans="1:14" x14ac:dyDescent="0.25">
      <c r="A597" s="4">
        <v>5460</v>
      </c>
      <c r="B597" s="5">
        <f t="shared" si="113"/>
        <v>5825.6</v>
      </c>
      <c r="C597" s="5">
        <f t="shared" si="114"/>
        <v>1737.971978563497</v>
      </c>
      <c r="D597" s="34">
        <f t="shared" si="115"/>
        <v>1749.971978563497</v>
      </c>
      <c r="E597" s="34">
        <f t="shared" si="116"/>
        <v>5497.6991118430769</v>
      </c>
      <c r="F597" s="39">
        <f t="shared" si="117"/>
        <v>2748.8495559215385</v>
      </c>
      <c r="G597" s="46">
        <f t="shared" si="121"/>
        <v>1.06</v>
      </c>
      <c r="H597" s="5">
        <f t="shared" si="118"/>
        <v>365.59999999999997</v>
      </c>
      <c r="I597" s="4"/>
      <c r="J597" s="4">
        <v>0.06</v>
      </c>
      <c r="K597" s="5">
        <f t="shared" si="119"/>
        <v>327.59999999999997</v>
      </c>
      <c r="L597" s="4">
        <v>38</v>
      </c>
      <c r="M597" s="7">
        <f t="shared" si="120"/>
        <v>1.066959706959707</v>
      </c>
      <c r="N597" s="6"/>
    </row>
    <row r="598" spans="1:14" x14ac:dyDescent="0.25">
      <c r="A598" s="4">
        <v>5470</v>
      </c>
      <c r="B598" s="5">
        <f t="shared" si="113"/>
        <v>5836.2</v>
      </c>
      <c r="C598" s="5">
        <f t="shared" si="114"/>
        <v>1741.1550774253351</v>
      </c>
      <c r="D598" s="34">
        <f t="shared" si="115"/>
        <v>1753.1550774253351</v>
      </c>
      <c r="E598" s="34">
        <f t="shared" si="116"/>
        <v>5507.6991118430778</v>
      </c>
      <c r="F598" s="39">
        <f t="shared" si="117"/>
        <v>2753.8495559215389</v>
      </c>
      <c r="G598" s="46">
        <f t="shared" si="121"/>
        <v>1.06</v>
      </c>
      <c r="H598" s="5">
        <f t="shared" si="118"/>
        <v>366.2</v>
      </c>
      <c r="I598" s="4"/>
      <c r="J598" s="4">
        <v>0.06</v>
      </c>
      <c r="K598" s="5">
        <f t="shared" si="119"/>
        <v>328.2</v>
      </c>
      <c r="L598" s="4">
        <v>38</v>
      </c>
      <c r="M598" s="7">
        <f t="shared" si="120"/>
        <v>1.0669469835466179</v>
      </c>
      <c r="N598" s="6"/>
    </row>
    <row r="599" spans="1:14" x14ac:dyDescent="0.25">
      <c r="A599" s="4">
        <v>5480</v>
      </c>
      <c r="B599" s="5">
        <f t="shared" si="113"/>
        <v>5846.8</v>
      </c>
      <c r="C599" s="5">
        <f t="shared" si="114"/>
        <v>1744.3381762871729</v>
      </c>
      <c r="D599" s="34">
        <f t="shared" si="115"/>
        <v>1756.3381762871729</v>
      </c>
      <c r="E599" s="34">
        <f t="shared" si="116"/>
        <v>5517.6991118430778</v>
      </c>
      <c r="F599" s="39">
        <f t="shared" si="117"/>
        <v>2758.8495559215389</v>
      </c>
      <c r="G599" s="46">
        <f t="shared" si="121"/>
        <v>1.06</v>
      </c>
      <c r="H599" s="5">
        <f t="shared" si="118"/>
        <v>366.8</v>
      </c>
      <c r="I599" s="4"/>
      <c r="J599" s="4">
        <v>0.06</v>
      </c>
      <c r="K599" s="5">
        <f t="shared" si="119"/>
        <v>328.8</v>
      </c>
      <c r="L599" s="4">
        <v>38</v>
      </c>
      <c r="M599" s="7">
        <f t="shared" si="120"/>
        <v>1.0669343065693431</v>
      </c>
      <c r="N599" s="6"/>
    </row>
    <row r="600" spans="1:14" x14ac:dyDescent="0.25">
      <c r="A600" s="4">
        <v>5490</v>
      </c>
      <c r="B600" s="5">
        <f t="shared" si="113"/>
        <v>5857.4</v>
      </c>
      <c r="C600" s="5">
        <f t="shared" si="114"/>
        <v>1747.5212751490108</v>
      </c>
      <c r="D600" s="34">
        <f t="shared" si="115"/>
        <v>1759.5212751490108</v>
      </c>
      <c r="E600" s="34">
        <f t="shared" si="116"/>
        <v>5527.6991118430769</v>
      </c>
      <c r="F600" s="39">
        <f t="shared" si="117"/>
        <v>2763.8495559215385</v>
      </c>
      <c r="G600" s="46">
        <f t="shared" si="121"/>
        <v>1.06</v>
      </c>
      <c r="H600" s="5">
        <f t="shared" si="118"/>
        <v>367.4</v>
      </c>
      <c r="I600" s="4"/>
      <c r="J600" s="4">
        <v>0.06</v>
      </c>
      <c r="K600" s="5">
        <f t="shared" si="119"/>
        <v>329.4</v>
      </c>
      <c r="L600" s="4">
        <v>38</v>
      </c>
      <c r="M600" s="7">
        <f t="shared" si="120"/>
        <v>1.0669216757741347</v>
      </c>
      <c r="N600" s="6"/>
    </row>
    <row r="601" spans="1:14" x14ac:dyDescent="0.25">
      <c r="A601" s="4">
        <v>5500</v>
      </c>
      <c r="B601" s="5">
        <f t="shared" si="113"/>
        <v>5868</v>
      </c>
      <c r="C601" s="5">
        <f t="shared" si="114"/>
        <v>1750.7043740108488</v>
      </c>
      <c r="D601" s="34">
        <f t="shared" si="115"/>
        <v>1762.7043740108488</v>
      </c>
      <c r="E601" s="34">
        <f t="shared" si="116"/>
        <v>5537.6991118430778</v>
      </c>
      <c r="F601" s="39">
        <f t="shared" si="117"/>
        <v>2768.8495559215389</v>
      </c>
      <c r="G601" s="46">
        <f t="shared" si="121"/>
        <v>1.06</v>
      </c>
      <c r="H601" s="5">
        <f t="shared" si="118"/>
        <v>368</v>
      </c>
      <c r="I601" s="4"/>
      <c r="J601" s="4">
        <v>0.06</v>
      </c>
      <c r="K601" s="5">
        <f t="shared" si="119"/>
        <v>330</v>
      </c>
      <c r="L601" s="4">
        <v>38</v>
      </c>
      <c r="M601" s="7">
        <f t="shared" si="120"/>
        <v>1.0669090909090908</v>
      </c>
      <c r="N601" s="6"/>
    </row>
    <row r="602" spans="1:14" x14ac:dyDescent="0.25">
      <c r="A602" s="4">
        <v>5510</v>
      </c>
      <c r="B602" s="5">
        <f t="shared" si="113"/>
        <v>5878.6</v>
      </c>
      <c r="C602" s="5">
        <f t="shared" si="114"/>
        <v>1753.8874728726867</v>
      </c>
      <c r="D602" s="34">
        <f t="shared" si="115"/>
        <v>1765.8874728726867</v>
      </c>
      <c r="E602" s="34">
        <f t="shared" si="116"/>
        <v>5547.6991118430778</v>
      </c>
      <c r="F602" s="39">
        <f t="shared" si="117"/>
        <v>2773.8495559215389</v>
      </c>
      <c r="G602" s="46">
        <f t="shared" si="121"/>
        <v>1.06</v>
      </c>
      <c r="H602" s="5">
        <f t="shared" si="118"/>
        <v>368.59999999999997</v>
      </c>
      <c r="I602" s="4"/>
      <c r="J602" s="4">
        <v>0.06</v>
      </c>
      <c r="K602" s="5">
        <f t="shared" si="119"/>
        <v>330.59999999999997</v>
      </c>
      <c r="L602" s="4">
        <v>38</v>
      </c>
      <c r="M602" s="7">
        <f t="shared" si="120"/>
        <v>1.066896551724138</v>
      </c>
      <c r="N602" s="6"/>
    </row>
    <row r="603" spans="1:14" x14ac:dyDescent="0.25">
      <c r="A603" s="4">
        <v>5520</v>
      </c>
      <c r="B603" s="5">
        <f t="shared" si="113"/>
        <v>5889.2</v>
      </c>
      <c r="C603" s="5">
        <f t="shared" si="114"/>
        <v>1757.0705717345245</v>
      </c>
      <c r="D603" s="34">
        <f t="shared" si="115"/>
        <v>1769.0705717345245</v>
      </c>
      <c r="E603" s="34">
        <f t="shared" si="116"/>
        <v>5557.6991118430769</v>
      </c>
      <c r="F603" s="39">
        <f t="shared" si="117"/>
        <v>2778.8495559215385</v>
      </c>
      <c r="G603" s="46">
        <f t="shared" si="121"/>
        <v>1.06</v>
      </c>
      <c r="H603" s="5">
        <f t="shared" si="118"/>
        <v>369.2</v>
      </c>
      <c r="I603" s="4"/>
      <c r="J603" s="4">
        <v>0.06</v>
      </c>
      <c r="K603" s="5">
        <f t="shared" si="119"/>
        <v>331.2</v>
      </c>
      <c r="L603" s="4">
        <v>38</v>
      </c>
      <c r="M603" s="7">
        <f t="shared" si="120"/>
        <v>1.0668840579710144</v>
      </c>
      <c r="N603" s="6"/>
    </row>
    <row r="604" spans="1:14" x14ac:dyDescent="0.25">
      <c r="A604" s="4">
        <v>5530</v>
      </c>
      <c r="B604" s="5">
        <f t="shared" si="113"/>
        <v>5899.8</v>
      </c>
      <c r="C604" s="5">
        <f t="shared" si="114"/>
        <v>1760.2536705963626</v>
      </c>
      <c r="D604" s="34">
        <f t="shared" si="115"/>
        <v>1772.2536705963626</v>
      </c>
      <c r="E604" s="34">
        <f t="shared" si="116"/>
        <v>5567.6991118430778</v>
      </c>
      <c r="F604" s="39">
        <f t="shared" si="117"/>
        <v>2783.8495559215389</v>
      </c>
      <c r="G604" s="46">
        <f t="shared" si="121"/>
        <v>1.06</v>
      </c>
      <c r="H604" s="5">
        <f t="shared" si="118"/>
        <v>369.8</v>
      </c>
      <c r="I604" s="4"/>
      <c r="J604" s="4">
        <v>0.06</v>
      </c>
      <c r="K604" s="5">
        <f t="shared" si="119"/>
        <v>331.8</v>
      </c>
      <c r="L604" s="4">
        <v>38</v>
      </c>
      <c r="M604" s="7">
        <f t="shared" si="120"/>
        <v>1.0668716094032551</v>
      </c>
      <c r="N604" s="6"/>
    </row>
    <row r="605" spans="1:14" x14ac:dyDescent="0.25">
      <c r="A605" s="4">
        <v>5540</v>
      </c>
      <c r="B605" s="5">
        <f t="shared" si="113"/>
        <v>5910.4</v>
      </c>
      <c r="C605" s="5">
        <f t="shared" si="114"/>
        <v>1763.4367694582004</v>
      </c>
      <c r="D605" s="34">
        <f t="shared" si="115"/>
        <v>1775.4367694582004</v>
      </c>
      <c r="E605" s="34">
        <f t="shared" si="116"/>
        <v>5577.6991118430778</v>
      </c>
      <c r="F605" s="39">
        <f t="shared" si="117"/>
        <v>2788.8495559215389</v>
      </c>
      <c r="G605" s="46">
        <f t="shared" si="121"/>
        <v>1.06</v>
      </c>
      <c r="H605" s="5">
        <f t="shared" si="118"/>
        <v>370.4</v>
      </c>
      <c r="I605" s="4"/>
      <c r="J605" s="4">
        <v>0.06</v>
      </c>
      <c r="K605" s="5">
        <f t="shared" si="119"/>
        <v>332.4</v>
      </c>
      <c r="L605" s="4">
        <v>38</v>
      </c>
      <c r="M605" s="7">
        <f t="shared" si="120"/>
        <v>1.0668592057761732</v>
      </c>
      <c r="N605" s="6"/>
    </row>
    <row r="606" spans="1:14" x14ac:dyDescent="0.25">
      <c r="A606" s="4">
        <v>5550</v>
      </c>
      <c r="B606" s="5">
        <f t="shared" si="113"/>
        <v>5921</v>
      </c>
      <c r="C606" s="5">
        <f t="shared" si="114"/>
        <v>1766.6198683200382</v>
      </c>
      <c r="D606" s="34">
        <f t="shared" si="115"/>
        <v>1778.6198683200382</v>
      </c>
      <c r="E606" s="34">
        <f t="shared" si="116"/>
        <v>5587.6991118430769</v>
      </c>
      <c r="F606" s="39">
        <f t="shared" si="117"/>
        <v>2793.8495559215385</v>
      </c>
      <c r="G606" s="46">
        <f t="shared" si="121"/>
        <v>1.06</v>
      </c>
      <c r="H606" s="5">
        <f t="shared" si="118"/>
        <v>371</v>
      </c>
      <c r="I606" s="4"/>
      <c r="J606" s="4">
        <v>0.06</v>
      </c>
      <c r="K606" s="5">
        <f t="shared" si="119"/>
        <v>333</v>
      </c>
      <c r="L606" s="4">
        <v>38</v>
      </c>
      <c r="M606" s="7">
        <f t="shared" si="120"/>
        <v>1.0668468468468468</v>
      </c>
      <c r="N606" s="6"/>
    </row>
    <row r="607" spans="1:14" x14ac:dyDescent="0.25">
      <c r="A607" s="4">
        <v>5560</v>
      </c>
      <c r="B607" s="5">
        <f t="shared" si="113"/>
        <v>5931.6</v>
      </c>
      <c r="C607" s="5">
        <f t="shared" si="114"/>
        <v>1769.8029671818763</v>
      </c>
      <c r="D607" s="34">
        <f t="shared" si="115"/>
        <v>1781.8029671818763</v>
      </c>
      <c r="E607" s="34">
        <f t="shared" si="116"/>
        <v>5597.6991118430778</v>
      </c>
      <c r="F607" s="39">
        <f t="shared" si="117"/>
        <v>2798.8495559215389</v>
      </c>
      <c r="G607" s="46">
        <f t="shared" si="121"/>
        <v>1.06</v>
      </c>
      <c r="H607" s="5">
        <f t="shared" si="118"/>
        <v>371.59999999999997</v>
      </c>
      <c r="I607" s="4"/>
      <c r="J607" s="4">
        <v>0.06</v>
      </c>
      <c r="K607" s="5">
        <f t="shared" si="119"/>
        <v>333.59999999999997</v>
      </c>
      <c r="L607" s="4">
        <v>38</v>
      </c>
      <c r="M607" s="7">
        <f t="shared" si="120"/>
        <v>1.0668345323741009</v>
      </c>
      <c r="N607" s="6"/>
    </row>
    <row r="608" spans="1:14" x14ac:dyDescent="0.25">
      <c r="A608" s="4">
        <v>5570</v>
      </c>
      <c r="B608" s="5">
        <f t="shared" si="113"/>
        <v>5942.2</v>
      </c>
      <c r="C608" s="5">
        <f t="shared" si="114"/>
        <v>1772.9860660437141</v>
      </c>
      <c r="D608" s="34">
        <f t="shared" si="115"/>
        <v>1784.9860660437141</v>
      </c>
      <c r="E608" s="34">
        <f t="shared" si="116"/>
        <v>5607.6991118430778</v>
      </c>
      <c r="F608" s="39">
        <f t="shared" si="117"/>
        <v>2803.8495559215389</v>
      </c>
      <c r="G608" s="46">
        <f t="shared" si="121"/>
        <v>1.06</v>
      </c>
      <c r="H608" s="5">
        <f t="shared" si="118"/>
        <v>372.2</v>
      </c>
      <c r="I608" s="4"/>
      <c r="J608" s="4">
        <v>0.06</v>
      </c>
      <c r="K608" s="5">
        <f t="shared" si="119"/>
        <v>334.2</v>
      </c>
      <c r="L608" s="4">
        <v>38</v>
      </c>
      <c r="M608" s="7">
        <f t="shared" si="120"/>
        <v>1.066822262118492</v>
      </c>
      <c r="N608" s="6"/>
    </row>
    <row r="609" spans="1:14" x14ac:dyDescent="0.25">
      <c r="A609" s="4">
        <v>5580</v>
      </c>
      <c r="B609" s="5">
        <f t="shared" si="113"/>
        <v>5952.8</v>
      </c>
      <c r="C609" s="5">
        <f t="shared" si="114"/>
        <v>1776.169164905552</v>
      </c>
      <c r="D609" s="34">
        <f t="shared" si="115"/>
        <v>1788.169164905552</v>
      </c>
      <c r="E609" s="34">
        <f t="shared" si="116"/>
        <v>5617.6991118430769</v>
      </c>
      <c r="F609" s="39">
        <f t="shared" si="117"/>
        <v>2808.8495559215385</v>
      </c>
      <c r="G609" s="46">
        <f t="shared" si="121"/>
        <v>1.06</v>
      </c>
      <c r="H609" s="5">
        <f t="shared" si="118"/>
        <v>372.8</v>
      </c>
      <c r="I609" s="4"/>
      <c r="J609" s="4">
        <v>0.06</v>
      </c>
      <c r="K609" s="5">
        <f t="shared" si="119"/>
        <v>334.8</v>
      </c>
      <c r="L609" s="4">
        <v>38</v>
      </c>
      <c r="M609" s="7">
        <f t="shared" si="120"/>
        <v>1.0668100358422938</v>
      </c>
      <c r="N609" s="6"/>
    </row>
    <row r="610" spans="1:14" x14ac:dyDescent="0.25">
      <c r="A610" s="4">
        <v>5590</v>
      </c>
      <c r="B610" s="5">
        <f t="shared" si="113"/>
        <v>5963.4</v>
      </c>
      <c r="C610" s="5">
        <f t="shared" si="114"/>
        <v>1779.35226376739</v>
      </c>
      <c r="D610" s="34">
        <f t="shared" si="115"/>
        <v>1791.35226376739</v>
      </c>
      <c r="E610" s="34">
        <f t="shared" si="116"/>
        <v>5627.6991118430778</v>
      </c>
      <c r="F610" s="39">
        <f t="shared" si="117"/>
        <v>2813.8495559215389</v>
      </c>
      <c r="G610" s="46">
        <f t="shared" si="121"/>
        <v>1.06</v>
      </c>
      <c r="H610" s="5">
        <f t="shared" si="118"/>
        <v>373.4</v>
      </c>
      <c r="I610" s="4"/>
      <c r="J610" s="4">
        <v>0.06</v>
      </c>
      <c r="K610" s="5">
        <f t="shared" si="119"/>
        <v>335.4</v>
      </c>
      <c r="L610" s="4">
        <v>38</v>
      </c>
      <c r="M610" s="7">
        <f t="shared" si="120"/>
        <v>1.0667978533094811</v>
      </c>
      <c r="N610" s="6"/>
    </row>
    <row r="611" spans="1:14" x14ac:dyDescent="0.25">
      <c r="A611" s="4">
        <v>5600</v>
      </c>
      <c r="B611" s="5">
        <f t="shared" si="113"/>
        <v>5974</v>
      </c>
      <c r="C611" s="5">
        <f t="shared" si="114"/>
        <v>1782.5353626292278</v>
      </c>
      <c r="D611" s="34">
        <f t="shared" si="115"/>
        <v>1794.5353626292278</v>
      </c>
      <c r="E611" s="34">
        <f t="shared" si="116"/>
        <v>5637.6991118430778</v>
      </c>
      <c r="F611" s="39">
        <f t="shared" si="117"/>
        <v>2818.8495559215389</v>
      </c>
      <c r="G611" s="46">
        <f t="shared" si="121"/>
        <v>1.06</v>
      </c>
      <c r="H611" s="5">
        <f t="shared" si="118"/>
        <v>374</v>
      </c>
      <c r="I611" s="4"/>
      <c r="J611" s="4">
        <v>0.06</v>
      </c>
      <c r="K611" s="5">
        <f t="shared" si="119"/>
        <v>336</v>
      </c>
      <c r="L611" s="4">
        <v>38</v>
      </c>
      <c r="M611" s="7">
        <f t="shared" si="120"/>
        <v>1.0667857142857142</v>
      </c>
      <c r="N611" s="6"/>
    </row>
    <row r="612" spans="1:14" x14ac:dyDescent="0.25">
      <c r="A612" s="4">
        <v>5610</v>
      </c>
      <c r="B612" s="5">
        <f t="shared" si="113"/>
        <v>5984.6</v>
      </c>
      <c r="C612" s="5">
        <f t="shared" si="114"/>
        <v>1785.7184614910657</v>
      </c>
      <c r="D612" s="34">
        <f t="shared" si="115"/>
        <v>1797.7184614910657</v>
      </c>
      <c r="E612" s="34">
        <f t="shared" si="116"/>
        <v>5647.6991118430769</v>
      </c>
      <c r="F612" s="39">
        <f t="shared" si="117"/>
        <v>2823.8495559215385</v>
      </c>
      <c r="G612" s="46">
        <f t="shared" si="121"/>
        <v>1.06</v>
      </c>
      <c r="H612" s="5">
        <f t="shared" si="118"/>
        <v>374.59999999999997</v>
      </c>
      <c r="I612" s="4"/>
      <c r="J612" s="4">
        <v>0.06</v>
      </c>
      <c r="K612" s="5">
        <f t="shared" si="119"/>
        <v>336.59999999999997</v>
      </c>
      <c r="L612" s="4">
        <v>38</v>
      </c>
      <c r="M612" s="7">
        <f t="shared" si="120"/>
        <v>1.0667736185383245</v>
      </c>
      <c r="N612" s="6"/>
    </row>
    <row r="613" spans="1:14" x14ac:dyDescent="0.25">
      <c r="A613" s="4">
        <v>5620</v>
      </c>
      <c r="B613" s="5">
        <f t="shared" si="113"/>
        <v>5995.2</v>
      </c>
      <c r="C613" s="5">
        <f t="shared" si="114"/>
        <v>1788.9015603529037</v>
      </c>
      <c r="D613" s="34">
        <f t="shared" si="115"/>
        <v>1800.9015603529037</v>
      </c>
      <c r="E613" s="34">
        <f t="shared" si="116"/>
        <v>5657.6991118430778</v>
      </c>
      <c r="F613" s="39">
        <f t="shared" si="117"/>
        <v>2828.8495559215389</v>
      </c>
      <c r="G613" s="46">
        <f t="shared" si="121"/>
        <v>1.06</v>
      </c>
      <c r="H613" s="5">
        <f t="shared" si="118"/>
        <v>375.2</v>
      </c>
      <c r="I613" s="4"/>
      <c r="J613" s="4">
        <v>0.06</v>
      </c>
      <c r="K613" s="5">
        <f t="shared" si="119"/>
        <v>337.2</v>
      </c>
      <c r="L613" s="4">
        <v>38</v>
      </c>
      <c r="M613" s="7">
        <f t="shared" si="120"/>
        <v>1.066761565836299</v>
      </c>
      <c r="N613" s="6"/>
    </row>
    <row r="614" spans="1:14" x14ac:dyDescent="0.25">
      <c r="A614" s="4">
        <v>5630</v>
      </c>
      <c r="B614" s="5">
        <f t="shared" si="113"/>
        <v>6005.8</v>
      </c>
      <c r="C614" s="5">
        <f t="shared" si="114"/>
        <v>1792.0846592147416</v>
      </c>
      <c r="D614" s="34">
        <f t="shared" si="115"/>
        <v>1804.0846592147416</v>
      </c>
      <c r="E614" s="34">
        <f t="shared" si="116"/>
        <v>5667.6991118430778</v>
      </c>
      <c r="F614" s="39">
        <f t="shared" si="117"/>
        <v>2833.8495559215389</v>
      </c>
      <c r="G614" s="46">
        <f t="shared" si="121"/>
        <v>1.06</v>
      </c>
      <c r="H614" s="5">
        <f t="shared" si="118"/>
        <v>375.8</v>
      </c>
      <c r="I614" s="4"/>
      <c r="J614" s="4">
        <v>0.06</v>
      </c>
      <c r="K614" s="5">
        <f t="shared" si="119"/>
        <v>337.8</v>
      </c>
      <c r="L614" s="4">
        <v>38</v>
      </c>
      <c r="M614" s="7">
        <f t="shared" si="120"/>
        <v>1.0667495559502664</v>
      </c>
      <c r="N614" s="6"/>
    </row>
    <row r="615" spans="1:14" x14ac:dyDescent="0.25">
      <c r="A615" s="4">
        <v>5640</v>
      </c>
      <c r="B615" s="5">
        <f t="shared" si="113"/>
        <v>6016.4</v>
      </c>
      <c r="C615" s="5">
        <f t="shared" si="114"/>
        <v>1795.2677580765794</v>
      </c>
      <c r="D615" s="34">
        <f t="shared" si="115"/>
        <v>1807.2677580765794</v>
      </c>
      <c r="E615" s="34">
        <f t="shared" si="116"/>
        <v>5677.6991118430769</v>
      </c>
      <c r="F615" s="39">
        <f t="shared" si="117"/>
        <v>2838.8495559215385</v>
      </c>
      <c r="G615" s="46">
        <f t="shared" si="121"/>
        <v>1.06</v>
      </c>
      <c r="H615" s="5">
        <f t="shared" si="118"/>
        <v>376.4</v>
      </c>
      <c r="I615" s="4"/>
      <c r="J615" s="4">
        <v>0.06</v>
      </c>
      <c r="K615" s="5">
        <f t="shared" si="119"/>
        <v>338.4</v>
      </c>
      <c r="L615" s="4">
        <v>38</v>
      </c>
      <c r="M615" s="7">
        <f t="shared" si="120"/>
        <v>1.0667375886524821</v>
      </c>
      <c r="N615" s="6"/>
    </row>
    <row r="616" spans="1:14" x14ac:dyDescent="0.25">
      <c r="A616" s="4">
        <v>5650</v>
      </c>
      <c r="B616" s="5">
        <f t="shared" si="113"/>
        <v>6027</v>
      </c>
      <c r="C616" s="5">
        <f t="shared" si="114"/>
        <v>1798.4508569384175</v>
      </c>
      <c r="D616" s="34">
        <f t="shared" si="115"/>
        <v>1810.4508569384175</v>
      </c>
      <c r="E616" s="34">
        <f t="shared" si="116"/>
        <v>5687.6991118430778</v>
      </c>
      <c r="F616" s="39">
        <f t="shared" si="117"/>
        <v>2843.8495559215389</v>
      </c>
      <c r="G616" s="46">
        <f t="shared" si="121"/>
        <v>1.06</v>
      </c>
      <c r="H616" s="5">
        <f t="shared" si="118"/>
        <v>377</v>
      </c>
      <c r="I616" s="4"/>
      <c r="J616" s="4">
        <v>0.06</v>
      </c>
      <c r="K616" s="5">
        <f t="shared" si="119"/>
        <v>339</v>
      </c>
      <c r="L616" s="4">
        <v>38</v>
      </c>
      <c r="M616" s="7">
        <f t="shared" si="120"/>
        <v>1.0667256637168141</v>
      </c>
      <c r="N616" s="6"/>
    </row>
    <row r="617" spans="1:14" x14ac:dyDescent="0.25">
      <c r="A617" s="4">
        <v>5660</v>
      </c>
      <c r="B617" s="5">
        <f t="shared" si="113"/>
        <v>6037.6</v>
      </c>
      <c r="C617" s="5">
        <f t="shared" si="114"/>
        <v>1801.6339558002553</v>
      </c>
      <c r="D617" s="34">
        <f t="shared" si="115"/>
        <v>1813.6339558002553</v>
      </c>
      <c r="E617" s="34">
        <f t="shared" si="116"/>
        <v>5697.6991118430778</v>
      </c>
      <c r="F617" s="39">
        <f t="shared" si="117"/>
        <v>2848.8495559215389</v>
      </c>
      <c r="G617" s="46">
        <f t="shared" si="121"/>
        <v>1.06</v>
      </c>
      <c r="H617" s="5">
        <f t="shared" si="118"/>
        <v>377.59999999999997</v>
      </c>
      <c r="I617" s="4"/>
      <c r="J617" s="4">
        <v>0.06</v>
      </c>
      <c r="K617" s="5">
        <f t="shared" si="119"/>
        <v>339.59999999999997</v>
      </c>
      <c r="L617" s="4">
        <v>38</v>
      </c>
      <c r="M617" s="7">
        <f t="shared" si="120"/>
        <v>1.0667137809187279</v>
      </c>
      <c r="N617" s="6"/>
    </row>
    <row r="618" spans="1:14" x14ac:dyDescent="0.25">
      <c r="A618" s="4">
        <v>5670</v>
      </c>
      <c r="B618" s="5">
        <f t="shared" si="113"/>
        <v>6048.2</v>
      </c>
      <c r="C618" s="5">
        <f t="shared" si="114"/>
        <v>1804.8170546620931</v>
      </c>
      <c r="D618" s="34">
        <f t="shared" si="115"/>
        <v>1816.8170546620931</v>
      </c>
      <c r="E618" s="34">
        <f t="shared" si="116"/>
        <v>5707.6991118430778</v>
      </c>
      <c r="F618" s="39">
        <f t="shared" si="117"/>
        <v>2853.8495559215389</v>
      </c>
      <c r="G618" s="46">
        <f t="shared" si="121"/>
        <v>1.06</v>
      </c>
      <c r="H618" s="5">
        <f t="shared" si="118"/>
        <v>378.2</v>
      </c>
      <c r="I618" s="4"/>
      <c r="J618" s="4">
        <v>0.06</v>
      </c>
      <c r="K618" s="5">
        <f t="shared" si="119"/>
        <v>340.2</v>
      </c>
      <c r="L618" s="4">
        <v>38</v>
      </c>
      <c r="M618" s="7">
        <f t="shared" si="120"/>
        <v>1.0667019400352733</v>
      </c>
      <c r="N618" s="6"/>
    </row>
    <row r="619" spans="1:14" x14ac:dyDescent="0.25">
      <c r="A619" s="4">
        <v>5680</v>
      </c>
      <c r="B619" s="5">
        <f t="shared" si="113"/>
        <v>6058.8</v>
      </c>
      <c r="C619" s="5">
        <f t="shared" si="114"/>
        <v>1808.000153523931</v>
      </c>
      <c r="D619" s="34">
        <f t="shared" si="115"/>
        <v>1820.000153523931</v>
      </c>
      <c r="E619" s="34">
        <f t="shared" si="116"/>
        <v>5717.6991118430769</v>
      </c>
      <c r="F619" s="39">
        <f t="shared" si="117"/>
        <v>2858.8495559215385</v>
      </c>
      <c r="G619" s="46">
        <f t="shared" si="121"/>
        <v>1.06</v>
      </c>
      <c r="H619" s="5">
        <f t="shared" si="118"/>
        <v>378.8</v>
      </c>
      <c r="I619" s="4"/>
      <c r="J619" s="4">
        <v>0.06</v>
      </c>
      <c r="K619" s="5">
        <f t="shared" si="119"/>
        <v>340.8</v>
      </c>
      <c r="L619" s="4">
        <v>38</v>
      </c>
      <c r="M619" s="7">
        <f t="shared" si="120"/>
        <v>1.0666901408450704</v>
      </c>
      <c r="N619" s="6"/>
    </row>
    <row r="620" spans="1:14" x14ac:dyDescent="0.25">
      <c r="A620" s="4">
        <v>5690</v>
      </c>
      <c r="B620" s="5">
        <f t="shared" si="113"/>
        <v>6069.4</v>
      </c>
      <c r="C620" s="5">
        <f t="shared" si="114"/>
        <v>1811.183252385769</v>
      </c>
      <c r="D620" s="34">
        <f t="shared" si="115"/>
        <v>1823.183252385769</v>
      </c>
      <c r="E620" s="34">
        <f t="shared" si="116"/>
        <v>5727.6991118430778</v>
      </c>
      <c r="F620" s="39">
        <f t="shared" si="117"/>
        <v>2863.8495559215389</v>
      </c>
      <c r="G620" s="46">
        <f t="shared" si="121"/>
        <v>1.06</v>
      </c>
      <c r="H620" s="5">
        <f t="shared" si="118"/>
        <v>379.4</v>
      </c>
      <c r="I620" s="4"/>
      <c r="J620" s="4">
        <v>0.06</v>
      </c>
      <c r="K620" s="5">
        <f t="shared" si="119"/>
        <v>341.4</v>
      </c>
      <c r="L620" s="4">
        <v>38</v>
      </c>
      <c r="M620" s="7">
        <f t="shared" si="120"/>
        <v>1.0666783831282951</v>
      </c>
      <c r="N620" s="6"/>
    </row>
    <row r="621" spans="1:14" x14ac:dyDescent="0.25">
      <c r="A621" s="4">
        <v>5700</v>
      </c>
      <c r="B621" s="5">
        <f t="shared" si="113"/>
        <v>6080</v>
      </c>
      <c r="C621" s="5">
        <f t="shared" si="114"/>
        <v>1814.3663512476069</v>
      </c>
      <c r="D621" s="34">
        <f t="shared" si="115"/>
        <v>1826.3663512476069</v>
      </c>
      <c r="E621" s="34">
        <f t="shared" si="116"/>
        <v>5737.6991118430778</v>
      </c>
      <c r="F621" s="39">
        <f t="shared" si="117"/>
        <v>2868.8495559215389</v>
      </c>
      <c r="G621" s="46">
        <f t="shared" si="121"/>
        <v>1.06</v>
      </c>
      <c r="H621" s="5">
        <f t="shared" si="118"/>
        <v>380</v>
      </c>
      <c r="I621" s="4"/>
      <c r="J621" s="4">
        <v>0.06</v>
      </c>
      <c r="K621" s="5">
        <f t="shared" si="119"/>
        <v>342</v>
      </c>
      <c r="L621" s="4">
        <v>38</v>
      </c>
      <c r="M621" s="7">
        <f t="shared" si="120"/>
        <v>1.0666666666666667</v>
      </c>
      <c r="N621" s="6"/>
    </row>
    <row r="622" spans="1:14" x14ac:dyDescent="0.25">
      <c r="A622" s="4">
        <v>5710</v>
      </c>
      <c r="B622" s="5">
        <f t="shared" ref="B622:B685" si="122">A622+K622+L622</f>
        <v>6090.6</v>
      </c>
      <c r="C622" s="5">
        <f t="shared" ref="C622:C685" si="123">A622/PI()</f>
        <v>1817.5494501094447</v>
      </c>
      <c r="D622" s="34">
        <f t="shared" ref="D622:D685" si="124">C622+12</f>
        <v>1829.5494501094447</v>
      </c>
      <c r="E622" s="34">
        <f t="shared" ref="E622:E685" si="125">D622*PI()</f>
        <v>5747.6991118430769</v>
      </c>
      <c r="F622" s="39">
        <f t="shared" ref="F622:F685" si="126">E622/2</f>
        <v>2873.8495559215385</v>
      </c>
      <c r="G622" s="46">
        <f t="shared" si="121"/>
        <v>1.06</v>
      </c>
      <c r="H622" s="5">
        <f t="shared" ref="H622:H685" si="127">K622+L622</f>
        <v>380.59999999999997</v>
      </c>
      <c r="I622" s="4"/>
      <c r="J622" s="4">
        <v>0.06</v>
      </c>
      <c r="K622" s="5">
        <f t="shared" ref="K622:K685" si="128">A622*J622</f>
        <v>342.59999999999997</v>
      </c>
      <c r="L622" s="4">
        <v>38</v>
      </c>
      <c r="M622" s="7">
        <f t="shared" ref="M622:M685" si="129">B622/A622</f>
        <v>1.0666549912434327</v>
      </c>
      <c r="N622" s="6"/>
    </row>
    <row r="623" spans="1:14" x14ac:dyDescent="0.25">
      <c r="A623" s="4">
        <v>5720</v>
      </c>
      <c r="B623" s="5">
        <f t="shared" si="122"/>
        <v>6101.2</v>
      </c>
      <c r="C623" s="5">
        <f t="shared" si="123"/>
        <v>1820.7325489712828</v>
      </c>
      <c r="D623" s="34">
        <f t="shared" si="124"/>
        <v>1832.7325489712828</v>
      </c>
      <c r="E623" s="34">
        <f t="shared" si="125"/>
        <v>5757.6991118430778</v>
      </c>
      <c r="F623" s="39">
        <f t="shared" si="126"/>
        <v>2878.8495559215389</v>
      </c>
      <c r="G623" s="46">
        <f t="shared" si="121"/>
        <v>1.06</v>
      </c>
      <c r="H623" s="5">
        <f t="shared" si="127"/>
        <v>381.2</v>
      </c>
      <c r="I623" s="4"/>
      <c r="J623" s="4">
        <v>0.06</v>
      </c>
      <c r="K623" s="5">
        <f t="shared" si="128"/>
        <v>343.2</v>
      </c>
      <c r="L623" s="4">
        <v>38</v>
      </c>
      <c r="M623" s="7">
        <f t="shared" si="129"/>
        <v>1.0666433566433566</v>
      </c>
      <c r="N623" s="6"/>
    </row>
    <row r="624" spans="1:14" x14ac:dyDescent="0.25">
      <c r="A624" s="4">
        <v>5730</v>
      </c>
      <c r="B624" s="5">
        <f t="shared" si="122"/>
        <v>6111.8</v>
      </c>
      <c r="C624" s="5">
        <f t="shared" si="123"/>
        <v>1823.9156478331206</v>
      </c>
      <c r="D624" s="34">
        <f t="shared" si="124"/>
        <v>1835.9156478331206</v>
      </c>
      <c r="E624" s="34">
        <f t="shared" si="125"/>
        <v>5767.6991118430778</v>
      </c>
      <c r="F624" s="39">
        <f t="shared" si="126"/>
        <v>2883.8495559215389</v>
      </c>
      <c r="G624" s="46">
        <f t="shared" si="121"/>
        <v>1.06</v>
      </c>
      <c r="H624" s="5">
        <f t="shared" si="127"/>
        <v>381.8</v>
      </c>
      <c r="I624" s="4"/>
      <c r="J624" s="4">
        <v>0.06</v>
      </c>
      <c r="K624" s="5">
        <f t="shared" si="128"/>
        <v>343.8</v>
      </c>
      <c r="L624" s="4">
        <v>38</v>
      </c>
      <c r="M624" s="7">
        <f t="shared" si="129"/>
        <v>1.0666317626527051</v>
      </c>
      <c r="N624" s="6"/>
    </row>
    <row r="625" spans="1:14" x14ac:dyDescent="0.25">
      <c r="A625" s="4">
        <v>5740</v>
      </c>
      <c r="B625" s="5">
        <f t="shared" si="122"/>
        <v>6122.4</v>
      </c>
      <c r="C625" s="5">
        <f t="shared" si="123"/>
        <v>1827.0987466949584</v>
      </c>
      <c r="D625" s="34">
        <f t="shared" si="124"/>
        <v>1839.0987466949584</v>
      </c>
      <c r="E625" s="34">
        <f t="shared" si="125"/>
        <v>5777.6991118430769</v>
      </c>
      <c r="F625" s="39">
        <f t="shared" si="126"/>
        <v>2888.8495559215385</v>
      </c>
      <c r="G625" s="46">
        <f t="shared" si="121"/>
        <v>1.06</v>
      </c>
      <c r="H625" s="5">
        <f t="shared" si="127"/>
        <v>382.4</v>
      </c>
      <c r="I625" s="4"/>
      <c r="J625" s="4">
        <v>0.06</v>
      </c>
      <c r="K625" s="5">
        <f t="shared" si="128"/>
        <v>344.4</v>
      </c>
      <c r="L625" s="4">
        <v>38</v>
      </c>
      <c r="M625" s="7">
        <f t="shared" si="129"/>
        <v>1.0666202090592334</v>
      </c>
      <c r="N625" s="6"/>
    </row>
    <row r="626" spans="1:14" x14ac:dyDescent="0.25">
      <c r="A626" s="4">
        <v>5750</v>
      </c>
      <c r="B626" s="5">
        <f t="shared" si="122"/>
        <v>6133</v>
      </c>
      <c r="C626" s="5">
        <f t="shared" si="123"/>
        <v>1830.2818455567965</v>
      </c>
      <c r="D626" s="34">
        <f t="shared" si="124"/>
        <v>1842.2818455567965</v>
      </c>
      <c r="E626" s="34">
        <f t="shared" si="125"/>
        <v>5787.6991118430778</v>
      </c>
      <c r="F626" s="39">
        <f t="shared" si="126"/>
        <v>2893.8495559215389</v>
      </c>
      <c r="G626" s="46">
        <f t="shared" si="121"/>
        <v>1.06</v>
      </c>
      <c r="H626" s="5">
        <f t="shared" si="127"/>
        <v>383</v>
      </c>
      <c r="I626" s="4"/>
      <c r="J626" s="4">
        <v>0.06</v>
      </c>
      <c r="K626" s="5">
        <f t="shared" si="128"/>
        <v>345</v>
      </c>
      <c r="L626" s="4">
        <v>38</v>
      </c>
      <c r="M626" s="7">
        <f t="shared" si="129"/>
        <v>1.0666086956521739</v>
      </c>
      <c r="N626" s="6"/>
    </row>
    <row r="627" spans="1:14" x14ac:dyDescent="0.25">
      <c r="A627" s="4">
        <v>5760</v>
      </c>
      <c r="B627" s="5">
        <f t="shared" si="122"/>
        <v>6143.6</v>
      </c>
      <c r="C627" s="5">
        <f t="shared" si="123"/>
        <v>1833.4649444186343</v>
      </c>
      <c r="D627" s="34">
        <f t="shared" si="124"/>
        <v>1845.4649444186343</v>
      </c>
      <c r="E627" s="34">
        <f t="shared" si="125"/>
        <v>5797.6991118430778</v>
      </c>
      <c r="F627" s="39">
        <f t="shared" si="126"/>
        <v>2898.8495559215389</v>
      </c>
      <c r="G627" s="46">
        <f t="shared" si="121"/>
        <v>1.06</v>
      </c>
      <c r="H627" s="5">
        <f t="shared" si="127"/>
        <v>383.59999999999997</v>
      </c>
      <c r="I627" s="4"/>
      <c r="J627" s="4">
        <v>0.06</v>
      </c>
      <c r="K627" s="5">
        <f t="shared" si="128"/>
        <v>345.59999999999997</v>
      </c>
      <c r="L627" s="4">
        <v>38</v>
      </c>
      <c r="M627" s="7">
        <f t="shared" si="129"/>
        <v>1.0665972222222222</v>
      </c>
      <c r="N627" s="6"/>
    </row>
    <row r="628" spans="1:14" x14ac:dyDescent="0.25">
      <c r="A628" s="4">
        <v>5770</v>
      </c>
      <c r="B628" s="5">
        <f t="shared" si="122"/>
        <v>6154.2</v>
      </c>
      <c r="C628" s="5">
        <f t="shared" si="123"/>
        <v>1836.6480432804722</v>
      </c>
      <c r="D628" s="34">
        <f t="shared" si="124"/>
        <v>1848.6480432804722</v>
      </c>
      <c r="E628" s="34">
        <f t="shared" si="125"/>
        <v>5807.6991118430769</v>
      </c>
      <c r="F628" s="39">
        <f t="shared" si="126"/>
        <v>2903.8495559215385</v>
      </c>
      <c r="G628" s="46">
        <f t="shared" si="121"/>
        <v>1.06</v>
      </c>
      <c r="H628" s="5">
        <f t="shared" si="127"/>
        <v>384.2</v>
      </c>
      <c r="I628" s="4"/>
      <c r="J628" s="4">
        <v>0.06</v>
      </c>
      <c r="K628" s="5">
        <f t="shared" si="128"/>
        <v>346.2</v>
      </c>
      <c r="L628" s="4">
        <v>38</v>
      </c>
      <c r="M628" s="7">
        <f t="shared" si="129"/>
        <v>1.0665857885615251</v>
      </c>
      <c r="N628" s="6"/>
    </row>
    <row r="629" spans="1:14" x14ac:dyDescent="0.25">
      <c r="A629" s="4">
        <v>5780</v>
      </c>
      <c r="B629" s="5">
        <f t="shared" si="122"/>
        <v>6164.8</v>
      </c>
      <c r="C629" s="5">
        <f t="shared" si="123"/>
        <v>1839.8311421423102</v>
      </c>
      <c r="D629" s="34">
        <f t="shared" si="124"/>
        <v>1851.8311421423102</v>
      </c>
      <c r="E629" s="34">
        <f t="shared" si="125"/>
        <v>5817.6991118430778</v>
      </c>
      <c r="F629" s="39">
        <f t="shared" si="126"/>
        <v>2908.8495559215389</v>
      </c>
      <c r="G629" s="46">
        <f t="shared" si="121"/>
        <v>1.06</v>
      </c>
      <c r="H629" s="5">
        <f t="shared" si="127"/>
        <v>384.8</v>
      </c>
      <c r="I629" s="4"/>
      <c r="J629" s="4">
        <v>0.06</v>
      </c>
      <c r="K629" s="5">
        <f t="shared" si="128"/>
        <v>346.8</v>
      </c>
      <c r="L629" s="4">
        <v>38</v>
      </c>
      <c r="M629" s="7">
        <f t="shared" si="129"/>
        <v>1.0665743944636679</v>
      </c>
      <c r="N629" s="6"/>
    </row>
    <row r="630" spans="1:14" x14ac:dyDescent="0.25">
      <c r="A630" s="4">
        <v>5790</v>
      </c>
      <c r="B630" s="5">
        <f t="shared" si="122"/>
        <v>6175.4</v>
      </c>
      <c r="C630" s="5">
        <f t="shared" si="123"/>
        <v>1843.0142410041481</v>
      </c>
      <c r="D630" s="34">
        <f t="shared" si="124"/>
        <v>1855.0142410041481</v>
      </c>
      <c r="E630" s="34">
        <f t="shared" si="125"/>
        <v>5827.6991118430778</v>
      </c>
      <c r="F630" s="39">
        <f t="shared" si="126"/>
        <v>2913.8495559215389</v>
      </c>
      <c r="G630" s="46">
        <f t="shared" si="121"/>
        <v>1.06</v>
      </c>
      <c r="H630" s="5">
        <f t="shared" si="127"/>
        <v>385.4</v>
      </c>
      <c r="I630" s="4"/>
      <c r="J630" s="4">
        <v>0.06</v>
      </c>
      <c r="K630" s="5">
        <f t="shared" si="128"/>
        <v>347.4</v>
      </c>
      <c r="L630" s="4">
        <v>38</v>
      </c>
      <c r="M630" s="7">
        <f t="shared" si="129"/>
        <v>1.0665630397236614</v>
      </c>
      <c r="N630" s="6"/>
    </row>
    <row r="631" spans="1:14" x14ac:dyDescent="0.25">
      <c r="A631" s="4">
        <v>5800</v>
      </c>
      <c r="B631" s="5">
        <f t="shared" si="122"/>
        <v>6186</v>
      </c>
      <c r="C631" s="5">
        <f t="shared" si="123"/>
        <v>1846.1973398659859</v>
      </c>
      <c r="D631" s="34">
        <f t="shared" si="124"/>
        <v>1858.1973398659859</v>
      </c>
      <c r="E631" s="34">
        <f t="shared" si="125"/>
        <v>5837.6991118430769</v>
      </c>
      <c r="F631" s="39">
        <f t="shared" si="126"/>
        <v>2918.8495559215385</v>
      </c>
      <c r="G631" s="46">
        <f t="shared" si="121"/>
        <v>1.06</v>
      </c>
      <c r="H631" s="5">
        <f t="shared" si="127"/>
        <v>386</v>
      </c>
      <c r="I631" s="4"/>
      <c r="J631" s="4">
        <v>0.06</v>
      </c>
      <c r="K631" s="5">
        <f t="shared" si="128"/>
        <v>348</v>
      </c>
      <c r="L631" s="4">
        <v>38</v>
      </c>
      <c r="M631" s="7">
        <f t="shared" si="129"/>
        <v>1.066551724137931</v>
      </c>
      <c r="N631" s="6"/>
    </row>
    <row r="632" spans="1:14" x14ac:dyDescent="0.25">
      <c r="A632" s="4">
        <v>5810</v>
      </c>
      <c r="B632" s="5">
        <f t="shared" si="122"/>
        <v>6196.6</v>
      </c>
      <c r="C632" s="5">
        <f t="shared" si="123"/>
        <v>1849.380438727824</v>
      </c>
      <c r="D632" s="34">
        <f t="shared" si="124"/>
        <v>1861.380438727824</v>
      </c>
      <c r="E632" s="34">
        <f t="shared" si="125"/>
        <v>5847.6991118430778</v>
      </c>
      <c r="F632" s="39">
        <f t="shared" si="126"/>
        <v>2923.8495559215389</v>
      </c>
      <c r="G632" s="46">
        <f t="shared" si="121"/>
        <v>1.06</v>
      </c>
      <c r="H632" s="5">
        <f t="shared" si="127"/>
        <v>386.59999999999997</v>
      </c>
      <c r="I632" s="4"/>
      <c r="J632" s="4">
        <v>0.06</v>
      </c>
      <c r="K632" s="5">
        <f t="shared" si="128"/>
        <v>348.59999999999997</v>
      </c>
      <c r="L632" s="4">
        <v>38</v>
      </c>
      <c r="M632" s="7">
        <f t="shared" si="129"/>
        <v>1.066540447504303</v>
      </c>
      <c r="N632" s="6"/>
    </row>
    <row r="633" spans="1:14" x14ac:dyDescent="0.25">
      <c r="A633" s="4">
        <v>5820</v>
      </c>
      <c r="B633" s="5">
        <f t="shared" si="122"/>
        <v>6207.2</v>
      </c>
      <c r="C633" s="5">
        <f t="shared" si="123"/>
        <v>1852.5635375896618</v>
      </c>
      <c r="D633" s="34">
        <f t="shared" si="124"/>
        <v>1864.5635375896618</v>
      </c>
      <c r="E633" s="34">
        <f t="shared" si="125"/>
        <v>5857.6991118430778</v>
      </c>
      <c r="F633" s="39">
        <f t="shared" si="126"/>
        <v>2928.8495559215389</v>
      </c>
      <c r="G633" s="46">
        <f t="shared" si="121"/>
        <v>1.06</v>
      </c>
      <c r="H633" s="5">
        <f t="shared" si="127"/>
        <v>387.2</v>
      </c>
      <c r="I633" s="4"/>
      <c r="J633" s="4">
        <v>0.06</v>
      </c>
      <c r="K633" s="5">
        <f t="shared" si="128"/>
        <v>349.2</v>
      </c>
      <c r="L633" s="4">
        <v>38</v>
      </c>
      <c r="M633" s="7">
        <f t="shared" si="129"/>
        <v>1.0665292096219932</v>
      </c>
      <c r="N633" s="6"/>
    </row>
    <row r="634" spans="1:14" x14ac:dyDescent="0.25">
      <c r="A634" s="4">
        <v>5830</v>
      </c>
      <c r="B634" s="5">
        <f t="shared" si="122"/>
        <v>6217.8</v>
      </c>
      <c r="C634" s="5">
        <f t="shared" si="123"/>
        <v>1855.7466364514996</v>
      </c>
      <c r="D634" s="34">
        <f t="shared" si="124"/>
        <v>1867.7466364514996</v>
      </c>
      <c r="E634" s="34">
        <f t="shared" si="125"/>
        <v>5867.6991118430769</v>
      </c>
      <c r="F634" s="39">
        <f t="shared" si="126"/>
        <v>2933.8495559215385</v>
      </c>
      <c r="G634" s="46">
        <f t="shared" si="121"/>
        <v>1.06</v>
      </c>
      <c r="H634" s="5">
        <f t="shared" si="127"/>
        <v>387.8</v>
      </c>
      <c r="I634" s="4"/>
      <c r="J634" s="4">
        <v>0.06</v>
      </c>
      <c r="K634" s="5">
        <f t="shared" si="128"/>
        <v>349.8</v>
      </c>
      <c r="L634" s="4">
        <v>38</v>
      </c>
      <c r="M634" s="7">
        <f t="shared" si="129"/>
        <v>1.0665180102915952</v>
      </c>
      <c r="N634" s="6"/>
    </row>
    <row r="635" spans="1:14" x14ac:dyDescent="0.25">
      <c r="A635" s="4">
        <v>5840</v>
      </c>
      <c r="B635" s="5">
        <f t="shared" si="122"/>
        <v>6228.4</v>
      </c>
      <c r="C635" s="5">
        <f t="shared" si="123"/>
        <v>1858.9297353133377</v>
      </c>
      <c r="D635" s="34">
        <f t="shared" si="124"/>
        <v>1870.9297353133377</v>
      </c>
      <c r="E635" s="34">
        <f t="shared" si="125"/>
        <v>5877.6991118430778</v>
      </c>
      <c r="F635" s="39">
        <f t="shared" si="126"/>
        <v>2938.8495559215389</v>
      </c>
      <c r="G635" s="46">
        <f t="shared" si="121"/>
        <v>1.06</v>
      </c>
      <c r="H635" s="5">
        <f t="shared" si="127"/>
        <v>388.4</v>
      </c>
      <c r="I635" s="4"/>
      <c r="J635" s="4">
        <v>0.06</v>
      </c>
      <c r="K635" s="5">
        <f t="shared" si="128"/>
        <v>350.4</v>
      </c>
      <c r="L635" s="4">
        <v>38</v>
      </c>
      <c r="M635" s="7">
        <f t="shared" si="129"/>
        <v>1.0665068493150685</v>
      </c>
      <c r="N635" s="6"/>
    </row>
    <row r="636" spans="1:14" x14ac:dyDescent="0.25">
      <c r="A636" s="4">
        <v>5850</v>
      </c>
      <c r="B636" s="5">
        <f t="shared" si="122"/>
        <v>6239</v>
      </c>
      <c r="C636" s="5">
        <f t="shared" si="123"/>
        <v>1862.1128341751755</v>
      </c>
      <c r="D636" s="34">
        <f t="shared" si="124"/>
        <v>1874.1128341751755</v>
      </c>
      <c r="E636" s="34">
        <f t="shared" si="125"/>
        <v>5887.6991118430778</v>
      </c>
      <c r="F636" s="39">
        <f t="shared" si="126"/>
        <v>2943.8495559215389</v>
      </c>
      <c r="G636" s="46">
        <f t="shared" si="121"/>
        <v>1.06</v>
      </c>
      <c r="H636" s="5">
        <f t="shared" si="127"/>
        <v>389</v>
      </c>
      <c r="I636" s="4"/>
      <c r="J636" s="4">
        <v>0.06</v>
      </c>
      <c r="K636" s="5">
        <f t="shared" si="128"/>
        <v>351</v>
      </c>
      <c r="L636" s="4">
        <v>38</v>
      </c>
      <c r="M636" s="7">
        <f t="shared" si="129"/>
        <v>1.0664957264957264</v>
      </c>
      <c r="N636" s="6"/>
    </row>
    <row r="637" spans="1:14" x14ac:dyDescent="0.25">
      <c r="A637" s="4">
        <v>5860</v>
      </c>
      <c r="B637" s="5">
        <f t="shared" si="122"/>
        <v>6249.6</v>
      </c>
      <c r="C637" s="5">
        <f t="shared" si="123"/>
        <v>1865.2959330370134</v>
      </c>
      <c r="D637" s="34">
        <f t="shared" si="124"/>
        <v>1877.2959330370134</v>
      </c>
      <c r="E637" s="34">
        <f t="shared" si="125"/>
        <v>5897.6991118430769</v>
      </c>
      <c r="F637" s="39">
        <f t="shared" si="126"/>
        <v>2948.8495559215385</v>
      </c>
      <c r="G637" s="46">
        <f t="shared" si="121"/>
        <v>1.06</v>
      </c>
      <c r="H637" s="5">
        <f t="shared" si="127"/>
        <v>389.59999999999997</v>
      </c>
      <c r="I637" s="4"/>
      <c r="J637" s="4">
        <v>0.06</v>
      </c>
      <c r="K637" s="5">
        <f t="shared" si="128"/>
        <v>351.59999999999997</v>
      </c>
      <c r="L637" s="4">
        <v>38</v>
      </c>
      <c r="M637" s="7">
        <f t="shared" si="129"/>
        <v>1.0664846416382254</v>
      </c>
      <c r="N637" s="6"/>
    </row>
    <row r="638" spans="1:14" x14ac:dyDescent="0.25">
      <c r="A638" s="4">
        <v>5870</v>
      </c>
      <c r="B638" s="5">
        <f t="shared" si="122"/>
        <v>6260.2</v>
      </c>
      <c r="C638" s="5">
        <f t="shared" si="123"/>
        <v>1868.4790318988514</v>
      </c>
      <c r="D638" s="34">
        <f t="shared" si="124"/>
        <v>1880.4790318988514</v>
      </c>
      <c r="E638" s="34">
        <f t="shared" si="125"/>
        <v>5907.6991118430778</v>
      </c>
      <c r="F638" s="39">
        <f t="shared" si="126"/>
        <v>2953.8495559215389</v>
      </c>
      <c r="G638" s="46">
        <f t="shared" si="121"/>
        <v>1.06</v>
      </c>
      <c r="H638" s="5">
        <f t="shared" si="127"/>
        <v>390.2</v>
      </c>
      <c r="I638" s="4"/>
      <c r="J638" s="4">
        <v>0.06</v>
      </c>
      <c r="K638" s="5">
        <f t="shared" si="128"/>
        <v>352.2</v>
      </c>
      <c r="L638" s="4">
        <v>38</v>
      </c>
      <c r="M638" s="7">
        <f t="shared" si="129"/>
        <v>1.066473594548552</v>
      </c>
      <c r="N638" s="6"/>
    </row>
    <row r="639" spans="1:14" x14ac:dyDescent="0.25">
      <c r="A639" s="4">
        <v>5880</v>
      </c>
      <c r="B639" s="5">
        <f t="shared" si="122"/>
        <v>6270.8</v>
      </c>
      <c r="C639" s="5">
        <f t="shared" si="123"/>
        <v>1871.6621307606893</v>
      </c>
      <c r="D639" s="34">
        <f t="shared" si="124"/>
        <v>1883.6621307606893</v>
      </c>
      <c r="E639" s="34">
        <f t="shared" si="125"/>
        <v>5917.6991118430778</v>
      </c>
      <c r="F639" s="39">
        <f t="shared" si="126"/>
        <v>2958.8495559215389</v>
      </c>
      <c r="G639" s="46">
        <f t="shared" si="121"/>
        <v>1.06</v>
      </c>
      <c r="H639" s="5">
        <f t="shared" si="127"/>
        <v>390.8</v>
      </c>
      <c r="I639" s="4"/>
      <c r="J639" s="4">
        <v>0.06</v>
      </c>
      <c r="K639" s="5">
        <f t="shared" si="128"/>
        <v>352.8</v>
      </c>
      <c r="L639" s="4">
        <v>38</v>
      </c>
      <c r="M639" s="7">
        <f t="shared" si="129"/>
        <v>1.0664625850340137</v>
      </c>
      <c r="N639" s="6"/>
    </row>
    <row r="640" spans="1:14" x14ac:dyDescent="0.25">
      <c r="A640" s="4">
        <v>5890</v>
      </c>
      <c r="B640" s="5">
        <f t="shared" si="122"/>
        <v>6281.4</v>
      </c>
      <c r="C640" s="5">
        <f t="shared" si="123"/>
        <v>1874.8452296225271</v>
      </c>
      <c r="D640" s="34">
        <f t="shared" si="124"/>
        <v>1886.8452296225271</v>
      </c>
      <c r="E640" s="34">
        <f t="shared" si="125"/>
        <v>5927.6991118430769</v>
      </c>
      <c r="F640" s="39">
        <f t="shared" si="126"/>
        <v>2963.8495559215385</v>
      </c>
      <c r="G640" s="46">
        <f t="shared" si="121"/>
        <v>1.06</v>
      </c>
      <c r="H640" s="5">
        <f t="shared" si="127"/>
        <v>391.4</v>
      </c>
      <c r="I640" s="4"/>
      <c r="J640" s="4">
        <v>0.06</v>
      </c>
      <c r="K640" s="5">
        <f t="shared" si="128"/>
        <v>353.4</v>
      </c>
      <c r="L640" s="4">
        <v>38</v>
      </c>
      <c r="M640" s="7">
        <f t="shared" si="129"/>
        <v>1.0664516129032258</v>
      </c>
      <c r="N640" s="6"/>
    </row>
    <row r="641" spans="1:14" x14ac:dyDescent="0.25">
      <c r="A641" s="4">
        <v>5900</v>
      </c>
      <c r="B641" s="5">
        <f t="shared" si="122"/>
        <v>6292</v>
      </c>
      <c r="C641" s="5">
        <f t="shared" si="123"/>
        <v>1878.0283284843651</v>
      </c>
      <c r="D641" s="34">
        <f t="shared" si="124"/>
        <v>1890.0283284843651</v>
      </c>
      <c r="E641" s="34">
        <f t="shared" si="125"/>
        <v>5937.6991118430778</v>
      </c>
      <c r="F641" s="39">
        <f t="shared" si="126"/>
        <v>2968.8495559215389</v>
      </c>
      <c r="G641" s="46">
        <f t="shared" si="121"/>
        <v>1.06</v>
      </c>
      <c r="H641" s="5">
        <f t="shared" si="127"/>
        <v>392</v>
      </c>
      <c r="I641" s="4"/>
      <c r="J641" s="4">
        <v>0.06</v>
      </c>
      <c r="K641" s="5">
        <f t="shared" si="128"/>
        <v>354</v>
      </c>
      <c r="L641" s="4">
        <v>38</v>
      </c>
      <c r="M641" s="7">
        <f t="shared" si="129"/>
        <v>1.0664406779661018</v>
      </c>
      <c r="N641" s="6"/>
    </row>
    <row r="642" spans="1:14" x14ac:dyDescent="0.25">
      <c r="A642" s="4">
        <v>5910</v>
      </c>
      <c r="B642" s="5">
        <f t="shared" si="122"/>
        <v>6302.6</v>
      </c>
      <c r="C642" s="5">
        <f t="shared" si="123"/>
        <v>1881.211427346203</v>
      </c>
      <c r="D642" s="34">
        <f t="shared" si="124"/>
        <v>1893.211427346203</v>
      </c>
      <c r="E642" s="34">
        <f t="shared" si="125"/>
        <v>5947.6991118430778</v>
      </c>
      <c r="F642" s="39">
        <f t="shared" si="126"/>
        <v>2973.8495559215389</v>
      </c>
      <c r="G642" s="46">
        <f t="shared" si="121"/>
        <v>1.06</v>
      </c>
      <c r="H642" s="5">
        <f t="shared" si="127"/>
        <v>392.59999999999997</v>
      </c>
      <c r="I642" s="4"/>
      <c r="J642" s="4">
        <v>0.06</v>
      </c>
      <c r="K642" s="5">
        <f t="shared" si="128"/>
        <v>354.59999999999997</v>
      </c>
      <c r="L642" s="4">
        <v>38</v>
      </c>
      <c r="M642" s="7">
        <f t="shared" si="129"/>
        <v>1.0664297800338409</v>
      </c>
      <c r="N642" s="6"/>
    </row>
    <row r="643" spans="1:14" x14ac:dyDescent="0.25">
      <c r="A643" s="4">
        <v>5920</v>
      </c>
      <c r="B643" s="5">
        <f t="shared" si="122"/>
        <v>6313.2</v>
      </c>
      <c r="C643" s="5">
        <f t="shared" si="123"/>
        <v>1884.3945262080408</v>
      </c>
      <c r="D643" s="34">
        <f t="shared" si="124"/>
        <v>1896.3945262080408</v>
      </c>
      <c r="E643" s="34">
        <f t="shared" si="125"/>
        <v>5957.6991118430778</v>
      </c>
      <c r="F643" s="39">
        <f t="shared" si="126"/>
        <v>2978.8495559215389</v>
      </c>
      <c r="G643" s="46">
        <f t="shared" si="121"/>
        <v>1.06</v>
      </c>
      <c r="H643" s="5">
        <f t="shared" si="127"/>
        <v>393.2</v>
      </c>
      <c r="I643" s="4"/>
      <c r="J643" s="4">
        <v>0.06</v>
      </c>
      <c r="K643" s="5">
        <f t="shared" si="128"/>
        <v>355.2</v>
      </c>
      <c r="L643" s="4">
        <v>38</v>
      </c>
      <c r="M643" s="7">
        <f t="shared" si="129"/>
        <v>1.0664189189189188</v>
      </c>
      <c r="N643" s="6"/>
    </row>
    <row r="644" spans="1:14" x14ac:dyDescent="0.25">
      <c r="A644" s="4">
        <v>5930</v>
      </c>
      <c r="B644" s="5">
        <f t="shared" si="122"/>
        <v>6323.8</v>
      </c>
      <c r="C644" s="5">
        <f t="shared" si="123"/>
        <v>1887.5776250698786</v>
      </c>
      <c r="D644" s="34">
        <f t="shared" si="124"/>
        <v>1899.5776250698786</v>
      </c>
      <c r="E644" s="34">
        <f t="shared" si="125"/>
        <v>5967.6991118430769</v>
      </c>
      <c r="F644" s="39">
        <f t="shared" si="126"/>
        <v>2983.8495559215385</v>
      </c>
      <c r="G644" s="46">
        <f t="shared" si="121"/>
        <v>1.06</v>
      </c>
      <c r="H644" s="5">
        <f t="shared" si="127"/>
        <v>393.8</v>
      </c>
      <c r="I644" s="4"/>
      <c r="J644" s="4">
        <v>0.06</v>
      </c>
      <c r="K644" s="5">
        <f t="shared" si="128"/>
        <v>355.8</v>
      </c>
      <c r="L644" s="4">
        <v>38</v>
      </c>
      <c r="M644" s="7">
        <f t="shared" si="129"/>
        <v>1.066408094435076</v>
      </c>
      <c r="N644" s="6"/>
    </row>
    <row r="645" spans="1:14" x14ac:dyDescent="0.25">
      <c r="A645" s="4">
        <v>5940</v>
      </c>
      <c r="B645" s="5">
        <f t="shared" si="122"/>
        <v>6334.4</v>
      </c>
      <c r="C645" s="5">
        <f t="shared" si="123"/>
        <v>1890.7607239317167</v>
      </c>
      <c r="D645" s="34">
        <f t="shared" si="124"/>
        <v>1902.7607239317167</v>
      </c>
      <c r="E645" s="34">
        <f t="shared" si="125"/>
        <v>5977.6991118430778</v>
      </c>
      <c r="F645" s="39">
        <f t="shared" si="126"/>
        <v>2988.8495559215389</v>
      </c>
      <c r="G645" s="46">
        <f t="shared" si="121"/>
        <v>1.06</v>
      </c>
      <c r="H645" s="5">
        <f t="shared" si="127"/>
        <v>394.4</v>
      </c>
      <c r="I645" s="4"/>
      <c r="J645" s="4">
        <v>0.06</v>
      </c>
      <c r="K645" s="5">
        <f t="shared" si="128"/>
        <v>356.4</v>
      </c>
      <c r="L645" s="4">
        <v>38</v>
      </c>
      <c r="M645" s="7">
        <f t="shared" si="129"/>
        <v>1.0663973063973062</v>
      </c>
      <c r="N645" s="6"/>
    </row>
    <row r="646" spans="1:14" x14ac:dyDescent="0.25">
      <c r="A646" s="4">
        <v>5950</v>
      </c>
      <c r="B646" s="5">
        <f t="shared" si="122"/>
        <v>6345</v>
      </c>
      <c r="C646" s="5">
        <f t="shared" si="123"/>
        <v>1893.9438227935545</v>
      </c>
      <c r="D646" s="34">
        <f t="shared" si="124"/>
        <v>1905.9438227935545</v>
      </c>
      <c r="E646" s="34">
        <f t="shared" si="125"/>
        <v>5987.6991118430778</v>
      </c>
      <c r="F646" s="39">
        <f t="shared" si="126"/>
        <v>2993.8495559215389</v>
      </c>
      <c r="G646" s="46">
        <f t="shared" ref="G646:G709" si="130">ROUNDUP(B646/E646,2)</f>
        <v>1.06</v>
      </c>
      <c r="H646" s="5">
        <f t="shared" si="127"/>
        <v>395</v>
      </c>
      <c r="I646" s="4"/>
      <c r="J646" s="4">
        <v>0.06</v>
      </c>
      <c r="K646" s="5">
        <f t="shared" si="128"/>
        <v>357</v>
      </c>
      <c r="L646" s="4">
        <v>38</v>
      </c>
      <c r="M646" s="7">
        <f t="shared" si="129"/>
        <v>1.0663865546218487</v>
      </c>
      <c r="N646" s="6"/>
    </row>
    <row r="647" spans="1:14" x14ac:dyDescent="0.25">
      <c r="A647" s="4">
        <v>5960</v>
      </c>
      <c r="B647" s="5">
        <f t="shared" si="122"/>
        <v>6355.6</v>
      </c>
      <c r="C647" s="5">
        <f t="shared" si="123"/>
        <v>1897.1269216553924</v>
      </c>
      <c r="D647" s="34">
        <f t="shared" si="124"/>
        <v>1909.1269216553924</v>
      </c>
      <c r="E647" s="34">
        <f t="shared" si="125"/>
        <v>5997.6991118430769</v>
      </c>
      <c r="F647" s="39">
        <f t="shared" si="126"/>
        <v>2998.8495559215385</v>
      </c>
      <c r="G647" s="46">
        <f t="shared" si="130"/>
        <v>1.06</v>
      </c>
      <c r="H647" s="5">
        <f t="shared" si="127"/>
        <v>395.59999999999997</v>
      </c>
      <c r="I647" s="4"/>
      <c r="J647" s="4">
        <v>0.06</v>
      </c>
      <c r="K647" s="5">
        <f t="shared" si="128"/>
        <v>357.59999999999997</v>
      </c>
      <c r="L647" s="4">
        <v>38</v>
      </c>
      <c r="M647" s="7">
        <f t="shared" si="129"/>
        <v>1.0663758389261746</v>
      </c>
      <c r="N647" s="6"/>
    </row>
    <row r="648" spans="1:14" x14ac:dyDescent="0.25">
      <c r="A648" s="4">
        <v>5970</v>
      </c>
      <c r="B648" s="5">
        <f t="shared" si="122"/>
        <v>6366.2</v>
      </c>
      <c r="C648" s="5">
        <f t="shared" si="123"/>
        <v>1900.3100205172304</v>
      </c>
      <c r="D648" s="34">
        <f t="shared" si="124"/>
        <v>1912.3100205172304</v>
      </c>
      <c r="E648" s="34">
        <f t="shared" si="125"/>
        <v>6007.6991118430778</v>
      </c>
      <c r="F648" s="39">
        <f t="shared" si="126"/>
        <v>3003.8495559215389</v>
      </c>
      <c r="G648" s="46">
        <f t="shared" si="130"/>
        <v>1.06</v>
      </c>
      <c r="H648" s="5">
        <f t="shared" si="127"/>
        <v>396.2</v>
      </c>
      <c r="I648" s="4"/>
      <c r="J648" s="4">
        <v>0.06</v>
      </c>
      <c r="K648" s="5">
        <f t="shared" si="128"/>
        <v>358.2</v>
      </c>
      <c r="L648" s="4">
        <v>38</v>
      </c>
      <c r="M648" s="7">
        <f t="shared" si="129"/>
        <v>1.0663651591289782</v>
      </c>
      <c r="N648" s="6"/>
    </row>
    <row r="649" spans="1:14" x14ac:dyDescent="0.25">
      <c r="A649" s="4">
        <v>5980</v>
      </c>
      <c r="B649" s="5">
        <f t="shared" si="122"/>
        <v>6376.8</v>
      </c>
      <c r="C649" s="5">
        <f t="shared" si="123"/>
        <v>1903.4931193790683</v>
      </c>
      <c r="D649" s="34">
        <f t="shared" si="124"/>
        <v>1915.4931193790683</v>
      </c>
      <c r="E649" s="34">
        <f t="shared" si="125"/>
        <v>6017.6991118430778</v>
      </c>
      <c r="F649" s="39">
        <f t="shared" si="126"/>
        <v>3008.8495559215389</v>
      </c>
      <c r="G649" s="46">
        <f t="shared" si="130"/>
        <v>1.06</v>
      </c>
      <c r="H649" s="5">
        <f t="shared" si="127"/>
        <v>396.8</v>
      </c>
      <c r="I649" s="4"/>
      <c r="J649" s="4">
        <v>0.06</v>
      </c>
      <c r="K649" s="5">
        <f t="shared" si="128"/>
        <v>358.8</v>
      </c>
      <c r="L649" s="4">
        <v>38</v>
      </c>
      <c r="M649" s="7">
        <f t="shared" si="129"/>
        <v>1.0663545150501672</v>
      </c>
      <c r="N649" s="6"/>
    </row>
    <row r="650" spans="1:14" x14ac:dyDescent="0.25">
      <c r="A650" s="4">
        <v>5990</v>
      </c>
      <c r="B650" s="5">
        <f t="shared" si="122"/>
        <v>6387.4</v>
      </c>
      <c r="C650" s="5">
        <f t="shared" si="123"/>
        <v>1906.6762182409061</v>
      </c>
      <c r="D650" s="34">
        <f t="shared" si="124"/>
        <v>1918.6762182409061</v>
      </c>
      <c r="E650" s="34">
        <f t="shared" si="125"/>
        <v>6027.6991118430769</v>
      </c>
      <c r="F650" s="39">
        <f t="shared" si="126"/>
        <v>3013.8495559215385</v>
      </c>
      <c r="G650" s="46">
        <f t="shared" si="130"/>
        <v>1.06</v>
      </c>
      <c r="H650" s="5">
        <f t="shared" si="127"/>
        <v>397.4</v>
      </c>
      <c r="I650" s="4"/>
      <c r="J650" s="4">
        <v>0.06</v>
      </c>
      <c r="K650" s="5">
        <f t="shared" si="128"/>
        <v>359.4</v>
      </c>
      <c r="L650" s="4">
        <v>38</v>
      </c>
      <c r="M650" s="7">
        <f t="shared" si="129"/>
        <v>1.0663439065108513</v>
      </c>
      <c r="N650" s="6"/>
    </row>
    <row r="651" spans="1:14" x14ac:dyDescent="0.25">
      <c r="A651" s="4">
        <v>6000</v>
      </c>
      <c r="B651" s="5">
        <f t="shared" si="122"/>
        <v>6398</v>
      </c>
      <c r="C651" s="5">
        <f t="shared" si="123"/>
        <v>1909.8593171027442</v>
      </c>
      <c r="D651" s="34">
        <f t="shared" si="124"/>
        <v>1921.8593171027442</v>
      </c>
      <c r="E651" s="34">
        <f t="shared" si="125"/>
        <v>6037.6991118430778</v>
      </c>
      <c r="F651" s="39">
        <f t="shared" si="126"/>
        <v>3018.8495559215389</v>
      </c>
      <c r="G651" s="46">
        <f t="shared" si="130"/>
        <v>1.06</v>
      </c>
      <c r="H651" s="5">
        <f t="shared" si="127"/>
        <v>398</v>
      </c>
      <c r="I651" s="4"/>
      <c r="J651" s="4">
        <v>0.06</v>
      </c>
      <c r="K651" s="5">
        <f t="shared" si="128"/>
        <v>360</v>
      </c>
      <c r="L651" s="4">
        <v>38</v>
      </c>
      <c r="M651" s="7">
        <f t="shared" si="129"/>
        <v>1.0663333333333334</v>
      </c>
      <c r="N651" s="6"/>
    </row>
    <row r="652" spans="1:14" x14ac:dyDescent="0.25">
      <c r="A652" s="4">
        <v>6010</v>
      </c>
      <c r="B652" s="5">
        <f t="shared" si="122"/>
        <v>6408.6</v>
      </c>
      <c r="C652" s="5">
        <f t="shared" si="123"/>
        <v>1913.042415964582</v>
      </c>
      <c r="D652" s="34">
        <f t="shared" si="124"/>
        <v>1925.042415964582</v>
      </c>
      <c r="E652" s="34">
        <f t="shared" si="125"/>
        <v>6047.6991118430778</v>
      </c>
      <c r="F652" s="39">
        <f t="shared" si="126"/>
        <v>3023.8495559215389</v>
      </c>
      <c r="G652" s="46">
        <f t="shared" si="130"/>
        <v>1.06</v>
      </c>
      <c r="H652" s="5">
        <f t="shared" si="127"/>
        <v>398.59999999999997</v>
      </c>
      <c r="I652" s="4"/>
      <c r="J652" s="4">
        <v>0.06</v>
      </c>
      <c r="K652" s="5">
        <f t="shared" si="128"/>
        <v>360.59999999999997</v>
      </c>
      <c r="L652" s="4">
        <v>38</v>
      </c>
      <c r="M652" s="7">
        <f t="shared" si="129"/>
        <v>1.0663227953410983</v>
      </c>
      <c r="N652" s="6"/>
    </row>
    <row r="653" spans="1:14" x14ac:dyDescent="0.25">
      <c r="A653" s="4">
        <v>6020</v>
      </c>
      <c r="B653" s="5">
        <f t="shared" si="122"/>
        <v>6419.2</v>
      </c>
      <c r="C653" s="5">
        <f t="shared" si="123"/>
        <v>1916.2255148264198</v>
      </c>
      <c r="D653" s="34">
        <f t="shared" si="124"/>
        <v>1928.2255148264198</v>
      </c>
      <c r="E653" s="34">
        <f t="shared" si="125"/>
        <v>6057.6991118430769</v>
      </c>
      <c r="F653" s="39">
        <f t="shared" si="126"/>
        <v>3028.8495559215385</v>
      </c>
      <c r="G653" s="46">
        <f t="shared" si="130"/>
        <v>1.06</v>
      </c>
      <c r="H653" s="5">
        <f t="shared" si="127"/>
        <v>399.2</v>
      </c>
      <c r="I653" s="4"/>
      <c r="J653" s="4">
        <v>0.06</v>
      </c>
      <c r="K653" s="5">
        <f t="shared" si="128"/>
        <v>361.2</v>
      </c>
      <c r="L653" s="4">
        <v>38</v>
      </c>
      <c r="M653" s="7">
        <f t="shared" si="129"/>
        <v>1.066312292358804</v>
      </c>
      <c r="N653" s="6"/>
    </row>
    <row r="654" spans="1:14" x14ac:dyDescent="0.25">
      <c r="A654" s="4">
        <v>6030</v>
      </c>
      <c r="B654" s="5">
        <f t="shared" si="122"/>
        <v>6429.8</v>
      </c>
      <c r="C654" s="5">
        <f t="shared" si="123"/>
        <v>1919.4086136882579</v>
      </c>
      <c r="D654" s="34">
        <f t="shared" si="124"/>
        <v>1931.4086136882579</v>
      </c>
      <c r="E654" s="34">
        <f t="shared" si="125"/>
        <v>6067.6991118430778</v>
      </c>
      <c r="F654" s="39">
        <f t="shared" si="126"/>
        <v>3033.8495559215389</v>
      </c>
      <c r="G654" s="46">
        <f t="shared" si="130"/>
        <v>1.06</v>
      </c>
      <c r="H654" s="5">
        <f t="shared" si="127"/>
        <v>399.8</v>
      </c>
      <c r="I654" s="4"/>
      <c r="J654" s="4">
        <v>0.06</v>
      </c>
      <c r="K654" s="5">
        <f t="shared" si="128"/>
        <v>361.8</v>
      </c>
      <c r="L654" s="4">
        <v>38</v>
      </c>
      <c r="M654" s="7">
        <f t="shared" si="129"/>
        <v>1.0663018242122719</v>
      </c>
      <c r="N654" s="6"/>
    </row>
    <row r="655" spans="1:14" x14ac:dyDescent="0.25">
      <c r="A655" s="4">
        <v>6040</v>
      </c>
      <c r="B655" s="5">
        <f t="shared" si="122"/>
        <v>6440.4</v>
      </c>
      <c r="C655" s="5">
        <f t="shared" si="123"/>
        <v>1922.5917125500957</v>
      </c>
      <c r="D655" s="34">
        <f t="shared" si="124"/>
        <v>1934.5917125500957</v>
      </c>
      <c r="E655" s="34">
        <f t="shared" si="125"/>
        <v>6077.6991118430778</v>
      </c>
      <c r="F655" s="39">
        <f t="shared" si="126"/>
        <v>3038.8495559215389</v>
      </c>
      <c r="G655" s="46">
        <f t="shared" si="130"/>
        <v>1.06</v>
      </c>
      <c r="H655" s="5">
        <f t="shared" si="127"/>
        <v>400.4</v>
      </c>
      <c r="I655" s="4"/>
      <c r="J655" s="4">
        <v>0.06</v>
      </c>
      <c r="K655" s="5">
        <f t="shared" si="128"/>
        <v>362.4</v>
      </c>
      <c r="L655" s="4">
        <v>38</v>
      </c>
      <c r="M655" s="7">
        <f t="shared" si="129"/>
        <v>1.0662913907284768</v>
      </c>
      <c r="N655" s="6"/>
    </row>
    <row r="656" spans="1:14" x14ac:dyDescent="0.25">
      <c r="A656" s="4">
        <v>6050</v>
      </c>
      <c r="B656" s="5">
        <f t="shared" si="122"/>
        <v>6451</v>
      </c>
      <c r="C656" s="5">
        <f t="shared" si="123"/>
        <v>1925.7748114119336</v>
      </c>
      <c r="D656" s="34">
        <f t="shared" si="124"/>
        <v>1937.7748114119336</v>
      </c>
      <c r="E656" s="34">
        <f t="shared" si="125"/>
        <v>6087.6991118430769</v>
      </c>
      <c r="F656" s="39">
        <f t="shared" si="126"/>
        <v>3043.8495559215385</v>
      </c>
      <c r="G656" s="46">
        <f t="shared" si="130"/>
        <v>1.06</v>
      </c>
      <c r="H656" s="5">
        <f t="shared" si="127"/>
        <v>401</v>
      </c>
      <c r="I656" s="4"/>
      <c r="J656" s="4">
        <v>0.06</v>
      </c>
      <c r="K656" s="5">
        <f t="shared" si="128"/>
        <v>363</v>
      </c>
      <c r="L656" s="4">
        <v>38</v>
      </c>
      <c r="M656" s="7">
        <f t="shared" si="129"/>
        <v>1.0662809917355371</v>
      </c>
      <c r="N656" s="6"/>
    </row>
    <row r="657" spans="1:14" x14ac:dyDescent="0.25">
      <c r="A657" s="4">
        <v>6060</v>
      </c>
      <c r="B657" s="5">
        <f t="shared" si="122"/>
        <v>6461.6</v>
      </c>
      <c r="C657" s="5">
        <f t="shared" si="123"/>
        <v>1928.9579102737716</v>
      </c>
      <c r="D657" s="34">
        <f t="shared" si="124"/>
        <v>1940.9579102737716</v>
      </c>
      <c r="E657" s="34">
        <f t="shared" si="125"/>
        <v>6097.6991118430778</v>
      </c>
      <c r="F657" s="39">
        <f t="shared" si="126"/>
        <v>3048.8495559215389</v>
      </c>
      <c r="G657" s="46">
        <f t="shared" si="130"/>
        <v>1.06</v>
      </c>
      <c r="H657" s="5">
        <f t="shared" si="127"/>
        <v>401.59999999999997</v>
      </c>
      <c r="I657" s="4"/>
      <c r="J657" s="4">
        <v>0.06</v>
      </c>
      <c r="K657" s="5">
        <f t="shared" si="128"/>
        <v>363.59999999999997</v>
      </c>
      <c r="L657" s="4">
        <v>38</v>
      </c>
      <c r="M657" s="7">
        <f t="shared" si="129"/>
        <v>1.0662706270627063</v>
      </c>
      <c r="N657" s="6"/>
    </row>
    <row r="658" spans="1:14" x14ac:dyDescent="0.25">
      <c r="A658" s="4">
        <v>6070</v>
      </c>
      <c r="B658" s="5">
        <f t="shared" si="122"/>
        <v>6472.2</v>
      </c>
      <c r="C658" s="5">
        <f t="shared" si="123"/>
        <v>1932.1410091356095</v>
      </c>
      <c r="D658" s="34">
        <f t="shared" si="124"/>
        <v>1944.1410091356095</v>
      </c>
      <c r="E658" s="34">
        <f t="shared" si="125"/>
        <v>6107.6991118430778</v>
      </c>
      <c r="F658" s="39">
        <f t="shared" si="126"/>
        <v>3053.8495559215389</v>
      </c>
      <c r="G658" s="46">
        <f t="shared" si="130"/>
        <v>1.06</v>
      </c>
      <c r="H658" s="5">
        <f t="shared" si="127"/>
        <v>402.2</v>
      </c>
      <c r="I658" s="4"/>
      <c r="J658" s="4">
        <v>0.06</v>
      </c>
      <c r="K658" s="5">
        <f t="shared" si="128"/>
        <v>364.2</v>
      </c>
      <c r="L658" s="4">
        <v>38</v>
      </c>
      <c r="M658" s="7">
        <f t="shared" si="129"/>
        <v>1.0662602965403625</v>
      </c>
      <c r="N658" s="6"/>
    </row>
    <row r="659" spans="1:14" x14ac:dyDescent="0.25">
      <c r="A659" s="4">
        <v>6080</v>
      </c>
      <c r="B659" s="5">
        <f t="shared" si="122"/>
        <v>6482.8</v>
      </c>
      <c r="C659" s="5">
        <f t="shared" si="123"/>
        <v>1935.3241079974473</v>
      </c>
      <c r="D659" s="34">
        <f t="shared" si="124"/>
        <v>1947.3241079974473</v>
      </c>
      <c r="E659" s="34">
        <f t="shared" si="125"/>
        <v>6117.6991118430769</v>
      </c>
      <c r="F659" s="39">
        <f t="shared" si="126"/>
        <v>3058.8495559215385</v>
      </c>
      <c r="G659" s="46">
        <f t="shared" si="130"/>
        <v>1.06</v>
      </c>
      <c r="H659" s="5">
        <f t="shared" si="127"/>
        <v>402.8</v>
      </c>
      <c r="I659" s="4"/>
      <c r="J659" s="4">
        <v>0.06</v>
      </c>
      <c r="K659" s="5">
        <f t="shared" si="128"/>
        <v>364.8</v>
      </c>
      <c r="L659" s="4">
        <v>38</v>
      </c>
      <c r="M659" s="7">
        <f t="shared" si="129"/>
        <v>1.0662499999999999</v>
      </c>
      <c r="N659" s="6"/>
    </row>
    <row r="660" spans="1:14" x14ac:dyDescent="0.25">
      <c r="A660" s="4">
        <v>6090</v>
      </c>
      <c r="B660" s="5">
        <f t="shared" si="122"/>
        <v>6493.4</v>
      </c>
      <c r="C660" s="5">
        <f t="shared" si="123"/>
        <v>1938.5072068592854</v>
      </c>
      <c r="D660" s="34">
        <f t="shared" si="124"/>
        <v>1950.5072068592854</v>
      </c>
      <c r="E660" s="34">
        <f t="shared" si="125"/>
        <v>6127.6991118430778</v>
      </c>
      <c r="F660" s="39">
        <f t="shared" si="126"/>
        <v>3063.8495559215389</v>
      </c>
      <c r="G660" s="46">
        <f t="shared" si="130"/>
        <v>1.06</v>
      </c>
      <c r="H660" s="5">
        <f t="shared" si="127"/>
        <v>403.4</v>
      </c>
      <c r="I660" s="4"/>
      <c r="J660" s="4">
        <v>0.06</v>
      </c>
      <c r="K660" s="5">
        <f t="shared" si="128"/>
        <v>365.4</v>
      </c>
      <c r="L660" s="4">
        <v>38</v>
      </c>
      <c r="M660" s="7">
        <f t="shared" si="129"/>
        <v>1.0662397372742201</v>
      </c>
      <c r="N660" s="6"/>
    </row>
    <row r="661" spans="1:14" x14ac:dyDescent="0.25">
      <c r="A661" s="4">
        <v>6100</v>
      </c>
      <c r="B661" s="5">
        <f t="shared" si="122"/>
        <v>6504</v>
      </c>
      <c r="C661" s="5">
        <f t="shared" si="123"/>
        <v>1941.6903057211232</v>
      </c>
      <c r="D661" s="34">
        <f t="shared" si="124"/>
        <v>1953.6903057211232</v>
      </c>
      <c r="E661" s="34">
        <f t="shared" si="125"/>
        <v>6137.6991118430778</v>
      </c>
      <c r="F661" s="39">
        <f t="shared" si="126"/>
        <v>3068.8495559215389</v>
      </c>
      <c r="G661" s="46">
        <f t="shared" si="130"/>
        <v>1.06</v>
      </c>
      <c r="H661" s="5">
        <f t="shared" si="127"/>
        <v>404</v>
      </c>
      <c r="I661" s="4"/>
      <c r="J661" s="4">
        <v>0.06</v>
      </c>
      <c r="K661" s="5">
        <f t="shared" si="128"/>
        <v>366</v>
      </c>
      <c r="L661" s="4">
        <v>38</v>
      </c>
      <c r="M661" s="7">
        <f t="shared" si="129"/>
        <v>1.0662295081967212</v>
      </c>
      <c r="N661" s="6"/>
    </row>
    <row r="662" spans="1:14" x14ac:dyDescent="0.25">
      <c r="A662" s="4">
        <v>6110</v>
      </c>
      <c r="B662" s="5">
        <f t="shared" si="122"/>
        <v>6514.6</v>
      </c>
      <c r="C662" s="5">
        <f t="shared" si="123"/>
        <v>1944.873404582961</v>
      </c>
      <c r="D662" s="34">
        <f t="shared" si="124"/>
        <v>1956.873404582961</v>
      </c>
      <c r="E662" s="34">
        <f t="shared" si="125"/>
        <v>6147.6991118430769</v>
      </c>
      <c r="F662" s="39">
        <f t="shared" si="126"/>
        <v>3073.8495559215385</v>
      </c>
      <c r="G662" s="46">
        <f t="shared" si="130"/>
        <v>1.06</v>
      </c>
      <c r="H662" s="5">
        <f t="shared" si="127"/>
        <v>404.59999999999997</v>
      </c>
      <c r="I662" s="4"/>
      <c r="J662" s="4">
        <v>0.06</v>
      </c>
      <c r="K662" s="5">
        <f t="shared" si="128"/>
        <v>366.59999999999997</v>
      </c>
      <c r="L662" s="4">
        <v>38</v>
      </c>
      <c r="M662" s="7">
        <f t="shared" si="129"/>
        <v>1.0662193126022914</v>
      </c>
      <c r="N662" s="6"/>
    </row>
    <row r="663" spans="1:14" x14ac:dyDescent="0.25">
      <c r="A663" s="4">
        <v>6120</v>
      </c>
      <c r="B663" s="5">
        <f t="shared" si="122"/>
        <v>6525.2</v>
      </c>
      <c r="C663" s="5">
        <f t="shared" si="123"/>
        <v>1948.0565034447991</v>
      </c>
      <c r="D663" s="34">
        <f t="shared" si="124"/>
        <v>1960.0565034447991</v>
      </c>
      <c r="E663" s="34">
        <f t="shared" si="125"/>
        <v>6157.6991118430778</v>
      </c>
      <c r="F663" s="39">
        <f t="shared" si="126"/>
        <v>3078.8495559215389</v>
      </c>
      <c r="G663" s="46">
        <f t="shared" si="130"/>
        <v>1.06</v>
      </c>
      <c r="H663" s="5">
        <f t="shared" si="127"/>
        <v>405.2</v>
      </c>
      <c r="I663" s="4"/>
      <c r="J663" s="4">
        <v>0.06</v>
      </c>
      <c r="K663" s="5">
        <f t="shared" si="128"/>
        <v>367.2</v>
      </c>
      <c r="L663" s="4">
        <v>38</v>
      </c>
      <c r="M663" s="7">
        <f t="shared" si="129"/>
        <v>1.0662091503267974</v>
      </c>
      <c r="N663" s="6"/>
    </row>
    <row r="664" spans="1:14" x14ac:dyDescent="0.25">
      <c r="A664" s="4">
        <v>6130</v>
      </c>
      <c r="B664" s="5">
        <f t="shared" si="122"/>
        <v>6535.8</v>
      </c>
      <c r="C664" s="5">
        <f t="shared" si="123"/>
        <v>1951.2396023066369</v>
      </c>
      <c r="D664" s="34">
        <f t="shared" si="124"/>
        <v>1963.2396023066369</v>
      </c>
      <c r="E664" s="34">
        <f t="shared" si="125"/>
        <v>6167.6991118430778</v>
      </c>
      <c r="F664" s="39">
        <f t="shared" si="126"/>
        <v>3083.8495559215389</v>
      </c>
      <c r="G664" s="46">
        <f t="shared" si="130"/>
        <v>1.06</v>
      </c>
      <c r="H664" s="5">
        <f t="shared" si="127"/>
        <v>405.8</v>
      </c>
      <c r="I664" s="4"/>
      <c r="J664" s="4">
        <v>0.06</v>
      </c>
      <c r="K664" s="5">
        <f t="shared" si="128"/>
        <v>367.8</v>
      </c>
      <c r="L664" s="4">
        <v>38</v>
      </c>
      <c r="M664" s="7">
        <f t="shared" si="129"/>
        <v>1.0661990212071779</v>
      </c>
      <c r="N664" s="6"/>
    </row>
    <row r="665" spans="1:14" x14ac:dyDescent="0.25">
      <c r="A665" s="4">
        <v>6140</v>
      </c>
      <c r="B665" s="5">
        <f t="shared" si="122"/>
        <v>6546.4</v>
      </c>
      <c r="C665" s="5">
        <f t="shared" si="123"/>
        <v>1954.4227011684748</v>
      </c>
      <c r="D665" s="34">
        <f t="shared" si="124"/>
        <v>1966.4227011684748</v>
      </c>
      <c r="E665" s="34">
        <f t="shared" si="125"/>
        <v>6177.6991118430778</v>
      </c>
      <c r="F665" s="39">
        <f t="shared" si="126"/>
        <v>3088.8495559215389</v>
      </c>
      <c r="G665" s="46">
        <f t="shared" si="130"/>
        <v>1.06</v>
      </c>
      <c r="H665" s="5">
        <f t="shared" si="127"/>
        <v>406.4</v>
      </c>
      <c r="I665" s="4"/>
      <c r="J665" s="4">
        <v>0.06</v>
      </c>
      <c r="K665" s="5">
        <f t="shared" si="128"/>
        <v>368.4</v>
      </c>
      <c r="L665" s="4">
        <v>38</v>
      </c>
      <c r="M665" s="7">
        <f t="shared" si="129"/>
        <v>1.0661889250814331</v>
      </c>
      <c r="N665" s="6"/>
    </row>
    <row r="666" spans="1:14" x14ac:dyDescent="0.25">
      <c r="A666" s="4">
        <v>6150</v>
      </c>
      <c r="B666" s="5">
        <f t="shared" si="122"/>
        <v>6557</v>
      </c>
      <c r="C666" s="5">
        <f t="shared" si="123"/>
        <v>1957.6058000303126</v>
      </c>
      <c r="D666" s="34">
        <f t="shared" si="124"/>
        <v>1969.6058000303126</v>
      </c>
      <c r="E666" s="34">
        <f t="shared" si="125"/>
        <v>6187.6991118430769</v>
      </c>
      <c r="F666" s="39">
        <f t="shared" si="126"/>
        <v>3093.8495559215385</v>
      </c>
      <c r="G666" s="46">
        <f t="shared" si="130"/>
        <v>1.06</v>
      </c>
      <c r="H666" s="5">
        <f t="shared" si="127"/>
        <v>407</v>
      </c>
      <c r="I666" s="4"/>
      <c r="J666" s="4">
        <v>0.06</v>
      </c>
      <c r="K666" s="5">
        <f t="shared" si="128"/>
        <v>369</v>
      </c>
      <c r="L666" s="4">
        <v>38</v>
      </c>
      <c r="M666" s="7">
        <f t="shared" si="129"/>
        <v>1.0661788617886179</v>
      </c>
      <c r="N666" s="6"/>
    </row>
    <row r="667" spans="1:14" x14ac:dyDescent="0.25">
      <c r="A667" s="4">
        <v>6160</v>
      </c>
      <c r="B667" s="5">
        <f t="shared" si="122"/>
        <v>6567.6</v>
      </c>
      <c r="C667" s="5">
        <f t="shared" si="123"/>
        <v>1960.7888988921507</v>
      </c>
      <c r="D667" s="34">
        <f t="shared" si="124"/>
        <v>1972.7888988921507</v>
      </c>
      <c r="E667" s="34">
        <f t="shared" si="125"/>
        <v>6197.6991118430778</v>
      </c>
      <c r="F667" s="39">
        <f t="shared" si="126"/>
        <v>3098.8495559215389</v>
      </c>
      <c r="G667" s="46">
        <f t="shared" si="130"/>
        <v>1.06</v>
      </c>
      <c r="H667" s="5">
        <f t="shared" si="127"/>
        <v>407.59999999999997</v>
      </c>
      <c r="I667" s="4"/>
      <c r="J667" s="4">
        <v>0.06</v>
      </c>
      <c r="K667" s="5">
        <f t="shared" si="128"/>
        <v>369.59999999999997</v>
      </c>
      <c r="L667" s="4">
        <v>38</v>
      </c>
      <c r="M667" s="7">
        <f t="shared" si="129"/>
        <v>1.0661688311688313</v>
      </c>
      <c r="N667" s="6"/>
    </row>
    <row r="668" spans="1:14" x14ac:dyDescent="0.25">
      <c r="A668" s="4">
        <v>6170</v>
      </c>
      <c r="B668" s="5">
        <f t="shared" si="122"/>
        <v>6578.2</v>
      </c>
      <c r="C668" s="5">
        <f t="shared" si="123"/>
        <v>1963.9719977539885</v>
      </c>
      <c r="D668" s="34">
        <f t="shared" si="124"/>
        <v>1975.9719977539885</v>
      </c>
      <c r="E668" s="34">
        <f t="shared" si="125"/>
        <v>6207.6991118430778</v>
      </c>
      <c r="F668" s="39">
        <f t="shared" si="126"/>
        <v>3103.8495559215389</v>
      </c>
      <c r="G668" s="46">
        <f t="shared" si="130"/>
        <v>1.06</v>
      </c>
      <c r="H668" s="5">
        <f t="shared" si="127"/>
        <v>408.2</v>
      </c>
      <c r="I668" s="4"/>
      <c r="J668" s="4">
        <v>0.06</v>
      </c>
      <c r="K668" s="5">
        <f t="shared" si="128"/>
        <v>370.2</v>
      </c>
      <c r="L668" s="4">
        <v>38</v>
      </c>
      <c r="M668" s="7">
        <f t="shared" si="129"/>
        <v>1.066158833063209</v>
      </c>
      <c r="N668" s="6"/>
    </row>
    <row r="669" spans="1:14" x14ac:dyDescent="0.25">
      <c r="A669" s="4">
        <v>6180</v>
      </c>
      <c r="B669" s="5">
        <f t="shared" si="122"/>
        <v>6588.8</v>
      </c>
      <c r="C669" s="5">
        <f t="shared" si="123"/>
        <v>1967.1550966158263</v>
      </c>
      <c r="D669" s="34">
        <f t="shared" si="124"/>
        <v>1979.1550966158263</v>
      </c>
      <c r="E669" s="34">
        <f t="shared" si="125"/>
        <v>6217.6991118430769</v>
      </c>
      <c r="F669" s="39">
        <f t="shared" si="126"/>
        <v>3108.8495559215385</v>
      </c>
      <c r="G669" s="46">
        <f t="shared" si="130"/>
        <v>1.06</v>
      </c>
      <c r="H669" s="5">
        <f t="shared" si="127"/>
        <v>408.8</v>
      </c>
      <c r="I669" s="4"/>
      <c r="J669" s="4">
        <v>0.06</v>
      </c>
      <c r="K669" s="5">
        <f t="shared" si="128"/>
        <v>370.8</v>
      </c>
      <c r="L669" s="4">
        <v>38</v>
      </c>
      <c r="M669" s="7">
        <f t="shared" si="129"/>
        <v>1.0661488673139159</v>
      </c>
      <c r="N669" s="6"/>
    </row>
    <row r="670" spans="1:14" x14ac:dyDescent="0.25">
      <c r="A670" s="4">
        <v>6190</v>
      </c>
      <c r="B670" s="5">
        <f t="shared" si="122"/>
        <v>6599.4</v>
      </c>
      <c r="C670" s="5">
        <f t="shared" si="123"/>
        <v>1970.3381954776644</v>
      </c>
      <c r="D670" s="34">
        <f t="shared" si="124"/>
        <v>1982.3381954776644</v>
      </c>
      <c r="E670" s="34">
        <f t="shared" si="125"/>
        <v>6227.6991118430778</v>
      </c>
      <c r="F670" s="39">
        <f t="shared" si="126"/>
        <v>3113.8495559215389</v>
      </c>
      <c r="G670" s="46">
        <f t="shared" si="130"/>
        <v>1.06</v>
      </c>
      <c r="H670" s="5">
        <f t="shared" si="127"/>
        <v>409.4</v>
      </c>
      <c r="I670" s="4"/>
      <c r="J670" s="4">
        <v>0.06</v>
      </c>
      <c r="K670" s="5">
        <f t="shared" si="128"/>
        <v>371.4</v>
      </c>
      <c r="L670" s="4">
        <v>38</v>
      </c>
      <c r="M670" s="7">
        <f t="shared" si="129"/>
        <v>1.0661389337641356</v>
      </c>
      <c r="N670" s="6"/>
    </row>
    <row r="671" spans="1:14" x14ac:dyDescent="0.25">
      <c r="A671" s="4">
        <v>6200</v>
      </c>
      <c r="B671" s="5">
        <f t="shared" si="122"/>
        <v>6610</v>
      </c>
      <c r="C671" s="5">
        <f t="shared" si="123"/>
        <v>1973.5212943395022</v>
      </c>
      <c r="D671" s="34">
        <f t="shared" si="124"/>
        <v>1985.5212943395022</v>
      </c>
      <c r="E671" s="34">
        <f t="shared" si="125"/>
        <v>6237.6991118430778</v>
      </c>
      <c r="F671" s="39">
        <f t="shared" si="126"/>
        <v>3118.8495559215389</v>
      </c>
      <c r="G671" s="46">
        <f t="shared" si="130"/>
        <v>1.06</v>
      </c>
      <c r="H671" s="5">
        <f t="shared" si="127"/>
        <v>410</v>
      </c>
      <c r="I671" s="4"/>
      <c r="J671" s="4">
        <v>0.06</v>
      </c>
      <c r="K671" s="5">
        <f t="shared" si="128"/>
        <v>372</v>
      </c>
      <c r="L671" s="4">
        <v>38</v>
      </c>
      <c r="M671" s="7">
        <f t="shared" si="129"/>
        <v>1.0661290322580645</v>
      </c>
      <c r="N671" s="6"/>
    </row>
    <row r="672" spans="1:14" x14ac:dyDescent="0.25">
      <c r="A672" s="4">
        <v>6210</v>
      </c>
      <c r="B672" s="5">
        <f t="shared" si="122"/>
        <v>6620.6</v>
      </c>
      <c r="C672" s="5">
        <f t="shared" si="123"/>
        <v>1976.7043932013401</v>
      </c>
      <c r="D672" s="34">
        <f t="shared" si="124"/>
        <v>1988.7043932013401</v>
      </c>
      <c r="E672" s="34">
        <f t="shared" si="125"/>
        <v>6247.6991118430769</v>
      </c>
      <c r="F672" s="39">
        <f t="shared" si="126"/>
        <v>3123.8495559215385</v>
      </c>
      <c r="G672" s="46">
        <f t="shared" si="130"/>
        <v>1.06</v>
      </c>
      <c r="H672" s="5">
        <f t="shared" si="127"/>
        <v>410.59999999999997</v>
      </c>
      <c r="I672" s="4"/>
      <c r="J672" s="4">
        <v>0.06</v>
      </c>
      <c r="K672" s="5">
        <f t="shared" si="128"/>
        <v>372.59999999999997</v>
      </c>
      <c r="L672" s="4">
        <v>38</v>
      </c>
      <c r="M672" s="7">
        <f t="shared" si="129"/>
        <v>1.0661191626409019</v>
      </c>
      <c r="N672" s="6"/>
    </row>
    <row r="673" spans="1:14" x14ac:dyDescent="0.25">
      <c r="A673" s="4">
        <v>6220</v>
      </c>
      <c r="B673" s="5">
        <f t="shared" si="122"/>
        <v>6631.2</v>
      </c>
      <c r="C673" s="5">
        <f t="shared" si="123"/>
        <v>1979.8874920631781</v>
      </c>
      <c r="D673" s="34">
        <f t="shared" si="124"/>
        <v>1991.8874920631781</v>
      </c>
      <c r="E673" s="34">
        <f t="shared" si="125"/>
        <v>6257.6991118430778</v>
      </c>
      <c r="F673" s="39">
        <f t="shared" si="126"/>
        <v>3128.8495559215389</v>
      </c>
      <c r="G673" s="46">
        <f t="shared" si="130"/>
        <v>1.06</v>
      </c>
      <c r="H673" s="5">
        <f t="shared" si="127"/>
        <v>411.2</v>
      </c>
      <c r="I673" s="4"/>
      <c r="J673" s="4">
        <v>0.06</v>
      </c>
      <c r="K673" s="5">
        <f t="shared" si="128"/>
        <v>373.2</v>
      </c>
      <c r="L673" s="4">
        <v>38</v>
      </c>
      <c r="M673" s="7">
        <f t="shared" si="129"/>
        <v>1.0661093247588425</v>
      </c>
      <c r="N673" s="6"/>
    </row>
    <row r="674" spans="1:14" x14ac:dyDescent="0.25">
      <c r="A674" s="4">
        <v>6230</v>
      </c>
      <c r="B674" s="5">
        <f t="shared" si="122"/>
        <v>6641.8</v>
      </c>
      <c r="C674" s="5">
        <f t="shared" si="123"/>
        <v>1983.0705909250159</v>
      </c>
      <c r="D674" s="34">
        <f t="shared" si="124"/>
        <v>1995.0705909250159</v>
      </c>
      <c r="E674" s="34">
        <f t="shared" si="125"/>
        <v>6267.6991118430778</v>
      </c>
      <c r="F674" s="39">
        <f t="shared" si="126"/>
        <v>3133.8495559215389</v>
      </c>
      <c r="G674" s="46">
        <f t="shared" si="130"/>
        <v>1.06</v>
      </c>
      <c r="H674" s="5">
        <f t="shared" si="127"/>
        <v>411.8</v>
      </c>
      <c r="I674" s="4"/>
      <c r="J674" s="4">
        <v>0.06</v>
      </c>
      <c r="K674" s="5">
        <f t="shared" si="128"/>
        <v>373.8</v>
      </c>
      <c r="L674" s="4">
        <v>38</v>
      </c>
      <c r="M674" s="7">
        <f t="shared" si="129"/>
        <v>1.0660995184590691</v>
      </c>
      <c r="N674" s="6"/>
    </row>
    <row r="675" spans="1:14" x14ac:dyDescent="0.25">
      <c r="A675" s="4">
        <v>6240</v>
      </c>
      <c r="B675" s="5">
        <f t="shared" si="122"/>
        <v>6652.4</v>
      </c>
      <c r="C675" s="5">
        <f t="shared" si="123"/>
        <v>1986.2536897868538</v>
      </c>
      <c r="D675" s="34">
        <f t="shared" si="124"/>
        <v>1998.2536897868538</v>
      </c>
      <c r="E675" s="34">
        <f t="shared" si="125"/>
        <v>6277.6991118430769</v>
      </c>
      <c r="F675" s="39">
        <f t="shared" si="126"/>
        <v>3138.8495559215385</v>
      </c>
      <c r="G675" s="46">
        <f t="shared" si="130"/>
        <v>1.06</v>
      </c>
      <c r="H675" s="5">
        <f t="shared" si="127"/>
        <v>412.4</v>
      </c>
      <c r="I675" s="4"/>
      <c r="J675" s="4">
        <v>0.06</v>
      </c>
      <c r="K675" s="5">
        <f t="shared" si="128"/>
        <v>374.4</v>
      </c>
      <c r="L675" s="4">
        <v>38</v>
      </c>
      <c r="M675" s="7">
        <f t="shared" si="129"/>
        <v>1.0660897435897436</v>
      </c>
      <c r="N675" s="6"/>
    </row>
    <row r="676" spans="1:14" x14ac:dyDescent="0.25">
      <c r="A676" s="4">
        <v>6250</v>
      </c>
      <c r="B676" s="5">
        <f t="shared" si="122"/>
        <v>6663</v>
      </c>
      <c r="C676" s="5">
        <f t="shared" si="123"/>
        <v>1989.4367886486918</v>
      </c>
      <c r="D676" s="34">
        <f t="shared" si="124"/>
        <v>2001.4367886486918</v>
      </c>
      <c r="E676" s="34">
        <f t="shared" si="125"/>
        <v>6287.6991118430778</v>
      </c>
      <c r="F676" s="39">
        <f t="shared" si="126"/>
        <v>3143.8495559215389</v>
      </c>
      <c r="G676" s="46">
        <f t="shared" si="130"/>
        <v>1.06</v>
      </c>
      <c r="H676" s="5">
        <f t="shared" si="127"/>
        <v>413</v>
      </c>
      <c r="I676" s="4"/>
      <c r="J676" s="4">
        <v>0.06</v>
      </c>
      <c r="K676" s="5">
        <f t="shared" si="128"/>
        <v>375</v>
      </c>
      <c r="L676" s="4">
        <v>38</v>
      </c>
      <c r="M676" s="7">
        <f t="shared" si="129"/>
        <v>1.0660799999999999</v>
      </c>
      <c r="N676" s="6"/>
    </row>
    <row r="677" spans="1:14" x14ac:dyDescent="0.25">
      <c r="A677" s="4">
        <v>6260</v>
      </c>
      <c r="B677" s="5">
        <f t="shared" si="122"/>
        <v>6673.6</v>
      </c>
      <c r="C677" s="5">
        <f t="shared" si="123"/>
        <v>1992.6198875105297</v>
      </c>
      <c r="D677" s="34">
        <f t="shared" si="124"/>
        <v>2004.6198875105297</v>
      </c>
      <c r="E677" s="34">
        <f t="shared" si="125"/>
        <v>6297.6991118430778</v>
      </c>
      <c r="F677" s="39">
        <f t="shared" si="126"/>
        <v>3148.8495559215389</v>
      </c>
      <c r="G677" s="46">
        <f t="shared" si="130"/>
        <v>1.06</v>
      </c>
      <c r="H677" s="5">
        <f t="shared" si="127"/>
        <v>413.59999999999997</v>
      </c>
      <c r="I677" s="4"/>
      <c r="J677" s="4">
        <v>0.06</v>
      </c>
      <c r="K677" s="5">
        <f t="shared" si="128"/>
        <v>375.59999999999997</v>
      </c>
      <c r="L677" s="4">
        <v>38</v>
      </c>
      <c r="M677" s="7">
        <f t="shared" si="129"/>
        <v>1.0660702875399362</v>
      </c>
      <c r="N677" s="6"/>
    </row>
    <row r="678" spans="1:14" x14ac:dyDescent="0.25">
      <c r="A678" s="4">
        <v>6270</v>
      </c>
      <c r="B678" s="5">
        <f t="shared" si="122"/>
        <v>6684.2</v>
      </c>
      <c r="C678" s="5">
        <f t="shared" si="123"/>
        <v>1995.8029863723675</v>
      </c>
      <c r="D678" s="34">
        <f t="shared" si="124"/>
        <v>2007.8029863723675</v>
      </c>
      <c r="E678" s="34">
        <f t="shared" si="125"/>
        <v>6307.6991118430769</v>
      </c>
      <c r="F678" s="39">
        <f t="shared" si="126"/>
        <v>3153.8495559215385</v>
      </c>
      <c r="G678" s="46">
        <f t="shared" si="130"/>
        <v>1.06</v>
      </c>
      <c r="H678" s="5">
        <f t="shared" si="127"/>
        <v>414.2</v>
      </c>
      <c r="I678" s="4"/>
      <c r="J678" s="4">
        <v>0.06</v>
      </c>
      <c r="K678" s="5">
        <f t="shared" si="128"/>
        <v>376.2</v>
      </c>
      <c r="L678" s="4">
        <v>38</v>
      </c>
      <c r="M678" s="7">
        <f t="shared" si="129"/>
        <v>1.0660606060606059</v>
      </c>
      <c r="N678" s="6"/>
    </row>
    <row r="679" spans="1:14" x14ac:dyDescent="0.25">
      <c r="A679" s="4">
        <v>6280</v>
      </c>
      <c r="B679" s="5">
        <f t="shared" si="122"/>
        <v>6694.8</v>
      </c>
      <c r="C679" s="5">
        <f t="shared" si="123"/>
        <v>1998.9860852342056</v>
      </c>
      <c r="D679" s="34">
        <f t="shared" si="124"/>
        <v>2010.9860852342056</v>
      </c>
      <c r="E679" s="34">
        <f t="shared" si="125"/>
        <v>6317.6991118430778</v>
      </c>
      <c r="F679" s="39">
        <f t="shared" si="126"/>
        <v>3158.8495559215389</v>
      </c>
      <c r="G679" s="46">
        <f t="shared" si="130"/>
        <v>1.06</v>
      </c>
      <c r="H679" s="5">
        <f t="shared" si="127"/>
        <v>414.8</v>
      </c>
      <c r="I679" s="4"/>
      <c r="J679" s="4">
        <v>0.06</v>
      </c>
      <c r="K679" s="5">
        <f t="shared" si="128"/>
        <v>376.8</v>
      </c>
      <c r="L679" s="4">
        <v>38</v>
      </c>
      <c r="M679" s="7">
        <f t="shared" si="129"/>
        <v>1.0660509554140127</v>
      </c>
      <c r="N679" s="6"/>
    </row>
    <row r="680" spans="1:14" x14ac:dyDescent="0.25">
      <c r="A680" s="4">
        <v>6290</v>
      </c>
      <c r="B680" s="5">
        <f t="shared" si="122"/>
        <v>6705.4</v>
      </c>
      <c r="C680" s="5">
        <f t="shared" si="123"/>
        <v>2002.1691840960434</v>
      </c>
      <c r="D680" s="34">
        <f t="shared" si="124"/>
        <v>2014.1691840960434</v>
      </c>
      <c r="E680" s="34">
        <f t="shared" si="125"/>
        <v>6327.6991118430778</v>
      </c>
      <c r="F680" s="39">
        <f t="shared" si="126"/>
        <v>3163.8495559215389</v>
      </c>
      <c r="G680" s="46">
        <f t="shared" si="130"/>
        <v>1.06</v>
      </c>
      <c r="H680" s="5">
        <f t="shared" si="127"/>
        <v>415.4</v>
      </c>
      <c r="I680" s="4"/>
      <c r="J680" s="4">
        <v>0.06</v>
      </c>
      <c r="K680" s="5">
        <f t="shared" si="128"/>
        <v>377.4</v>
      </c>
      <c r="L680" s="4">
        <v>38</v>
      </c>
      <c r="M680" s="7">
        <f t="shared" si="129"/>
        <v>1.0660413354531002</v>
      </c>
      <c r="N680" s="6"/>
    </row>
    <row r="681" spans="1:14" x14ac:dyDescent="0.25">
      <c r="A681" s="4">
        <v>6300</v>
      </c>
      <c r="B681" s="5">
        <f t="shared" si="122"/>
        <v>6716</v>
      </c>
      <c r="C681" s="5">
        <f t="shared" si="123"/>
        <v>2005.3522829578812</v>
      </c>
      <c r="D681" s="34">
        <f t="shared" si="124"/>
        <v>2017.3522829578812</v>
      </c>
      <c r="E681" s="34">
        <f t="shared" si="125"/>
        <v>6337.6991118430769</v>
      </c>
      <c r="F681" s="39">
        <f t="shared" si="126"/>
        <v>3168.8495559215385</v>
      </c>
      <c r="G681" s="46">
        <f t="shared" si="130"/>
        <v>1.06</v>
      </c>
      <c r="H681" s="5">
        <f t="shared" si="127"/>
        <v>416</v>
      </c>
      <c r="I681" s="4"/>
      <c r="J681" s="4">
        <v>0.06</v>
      </c>
      <c r="K681" s="5">
        <f t="shared" si="128"/>
        <v>378</v>
      </c>
      <c r="L681" s="4">
        <v>38</v>
      </c>
      <c r="M681" s="7">
        <f t="shared" si="129"/>
        <v>1.0660317460317461</v>
      </c>
      <c r="N681" s="6"/>
    </row>
    <row r="682" spans="1:14" x14ac:dyDescent="0.25">
      <c r="A682" s="4">
        <v>6310</v>
      </c>
      <c r="B682" s="5">
        <f t="shared" si="122"/>
        <v>6726.6</v>
      </c>
      <c r="C682" s="5">
        <f t="shared" si="123"/>
        <v>2008.5353818197193</v>
      </c>
      <c r="D682" s="34">
        <f t="shared" si="124"/>
        <v>2020.5353818197193</v>
      </c>
      <c r="E682" s="34">
        <f t="shared" si="125"/>
        <v>6347.6991118430778</v>
      </c>
      <c r="F682" s="39">
        <f t="shared" si="126"/>
        <v>3173.8495559215389</v>
      </c>
      <c r="G682" s="46">
        <f t="shared" si="130"/>
        <v>1.06</v>
      </c>
      <c r="H682" s="5">
        <f t="shared" si="127"/>
        <v>416.59999999999997</v>
      </c>
      <c r="I682" s="4"/>
      <c r="J682" s="4">
        <v>0.06</v>
      </c>
      <c r="K682" s="5">
        <f t="shared" si="128"/>
        <v>378.59999999999997</v>
      </c>
      <c r="L682" s="4">
        <v>38</v>
      </c>
      <c r="M682" s="7">
        <f t="shared" si="129"/>
        <v>1.0660221870047544</v>
      </c>
      <c r="N682" s="6"/>
    </row>
    <row r="683" spans="1:14" x14ac:dyDescent="0.25">
      <c r="A683" s="4">
        <v>6320</v>
      </c>
      <c r="B683" s="5">
        <f t="shared" si="122"/>
        <v>6737.2</v>
      </c>
      <c r="C683" s="5">
        <f t="shared" si="123"/>
        <v>2011.7184806815571</v>
      </c>
      <c r="D683" s="34">
        <f t="shared" si="124"/>
        <v>2023.7184806815571</v>
      </c>
      <c r="E683" s="34">
        <f t="shared" si="125"/>
        <v>6357.6991118430778</v>
      </c>
      <c r="F683" s="39">
        <f t="shared" si="126"/>
        <v>3178.8495559215389</v>
      </c>
      <c r="G683" s="46">
        <f t="shared" si="130"/>
        <v>1.06</v>
      </c>
      <c r="H683" s="5">
        <f t="shared" si="127"/>
        <v>417.2</v>
      </c>
      <c r="I683" s="4"/>
      <c r="J683" s="4">
        <v>0.06</v>
      </c>
      <c r="K683" s="5">
        <f t="shared" si="128"/>
        <v>379.2</v>
      </c>
      <c r="L683" s="4">
        <v>38</v>
      </c>
      <c r="M683" s="7">
        <f t="shared" si="129"/>
        <v>1.066012658227848</v>
      </c>
      <c r="N683" s="6"/>
    </row>
    <row r="684" spans="1:14" x14ac:dyDescent="0.25">
      <c r="A684" s="4">
        <v>6330</v>
      </c>
      <c r="B684" s="5">
        <f t="shared" si="122"/>
        <v>6747.8</v>
      </c>
      <c r="C684" s="5">
        <f t="shared" si="123"/>
        <v>2014.901579543395</v>
      </c>
      <c r="D684" s="34">
        <f t="shared" si="124"/>
        <v>2026.901579543395</v>
      </c>
      <c r="E684" s="34">
        <f t="shared" si="125"/>
        <v>6367.6991118430769</v>
      </c>
      <c r="F684" s="39">
        <f t="shared" si="126"/>
        <v>3183.8495559215385</v>
      </c>
      <c r="G684" s="46">
        <f t="shared" si="130"/>
        <v>1.06</v>
      </c>
      <c r="H684" s="5">
        <f t="shared" si="127"/>
        <v>417.8</v>
      </c>
      <c r="I684" s="4"/>
      <c r="J684" s="4">
        <v>0.06</v>
      </c>
      <c r="K684" s="5">
        <f t="shared" si="128"/>
        <v>379.8</v>
      </c>
      <c r="L684" s="4">
        <v>38</v>
      </c>
      <c r="M684" s="7">
        <f t="shared" si="129"/>
        <v>1.066003159557662</v>
      </c>
      <c r="N684" s="6"/>
    </row>
    <row r="685" spans="1:14" x14ac:dyDescent="0.25">
      <c r="A685" s="4">
        <v>6340</v>
      </c>
      <c r="B685" s="5">
        <f t="shared" si="122"/>
        <v>6758.4</v>
      </c>
      <c r="C685" s="5">
        <f t="shared" si="123"/>
        <v>2018.084678405233</v>
      </c>
      <c r="D685" s="34">
        <f t="shared" si="124"/>
        <v>2030.084678405233</v>
      </c>
      <c r="E685" s="34">
        <f t="shared" si="125"/>
        <v>6377.6991118430778</v>
      </c>
      <c r="F685" s="39">
        <f t="shared" si="126"/>
        <v>3188.8495559215389</v>
      </c>
      <c r="G685" s="46">
        <f t="shared" si="130"/>
        <v>1.06</v>
      </c>
      <c r="H685" s="5">
        <f t="shared" si="127"/>
        <v>418.4</v>
      </c>
      <c r="I685" s="4"/>
      <c r="J685" s="4">
        <v>0.06</v>
      </c>
      <c r="K685" s="5">
        <f t="shared" si="128"/>
        <v>380.4</v>
      </c>
      <c r="L685" s="4">
        <v>38</v>
      </c>
      <c r="M685" s="7">
        <f t="shared" si="129"/>
        <v>1.0659936908517349</v>
      </c>
      <c r="N685" s="6"/>
    </row>
    <row r="686" spans="1:14" x14ac:dyDescent="0.25">
      <c r="A686" s="4">
        <v>6350</v>
      </c>
      <c r="B686" s="5">
        <f t="shared" ref="B686:B749" si="131">A686+K686+L686</f>
        <v>6769</v>
      </c>
      <c r="C686" s="5">
        <f t="shared" ref="C686:C749" si="132">A686/PI()</f>
        <v>2021.2677772670709</v>
      </c>
      <c r="D686" s="34">
        <f t="shared" ref="D686:D749" si="133">C686+12</f>
        <v>2033.2677772670709</v>
      </c>
      <c r="E686" s="34">
        <f t="shared" ref="E686:E749" si="134">D686*PI()</f>
        <v>6387.6991118430778</v>
      </c>
      <c r="F686" s="39">
        <f t="shared" ref="F686:F749" si="135">E686/2</f>
        <v>3193.8495559215389</v>
      </c>
      <c r="G686" s="46">
        <f t="shared" si="130"/>
        <v>1.06</v>
      </c>
      <c r="H686" s="5">
        <f t="shared" ref="H686:H749" si="136">K686+L686</f>
        <v>419</v>
      </c>
      <c r="I686" s="4"/>
      <c r="J686" s="4">
        <v>0.06</v>
      </c>
      <c r="K686" s="5">
        <f t="shared" ref="K686:K749" si="137">A686*J686</f>
        <v>381</v>
      </c>
      <c r="L686" s="4">
        <v>38</v>
      </c>
      <c r="M686" s="7">
        <f t="shared" ref="M686:M749" si="138">B686/A686</f>
        <v>1.0659842519685039</v>
      </c>
      <c r="N686" s="6"/>
    </row>
    <row r="687" spans="1:14" x14ac:dyDescent="0.25">
      <c r="A687" s="4">
        <v>6360</v>
      </c>
      <c r="B687" s="5">
        <f t="shared" si="131"/>
        <v>6779.6</v>
      </c>
      <c r="C687" s="5">
        <f t="shared" si="132"/>
        <v>2024.4508761289087</v>
      </c>
      <c r="D687" s="34">
        <f t="shared" si="133"/>
        <v>2036.4508761289087</v>
      </c>
      <c r="E687" s="34">
        <f t="shared" si="134"/>
        <v>6397.6991118430769</v>
      </c>
      <c r="F687" s="39">
        <f t="shared" si="135"/>
        <v>3198.8495559215385</v>
      </c>
      <c r="G687" s="46">
        <f t="shared" si="130"/>
        <v>1.06</v>
      </c>
      <c r="H687" s="5">
        <f t="shared" si="136"/>
        <v>419.59999999999997</v>
      </c>
      <c r="I687" s="4"/>
      <c r="J687" s="4">
        <v>0.06</v>
      </c>
      <c r="K687" s="5">
        <f t="shared" si="137"/>
        <v>381.59999999999997</v>
      </c>
      <c r="L687" s="4">
        <v>38</v>
      </c>
      <c r="M687" s="7">
        <f t="shared" si="138"/>
        <v>1.0659748427672957</v>
      </c>
      <c r="N687" s="6"/>
    </row>
    <row r="688" spans="1:14" x14ac:dyDescent="0.25">
      <c r="A688" s="4">
        <v>6370</v>
      </c>
      <c r="B688" s="5">
        <f t="shared" si="131"/>
        <v>6790.2</v>
      </c>
      <c r="C688" s="5">
        <f t="shared" si="132"/>
        <v>2027.6339749907468</v>
      </c>
      <c r="D688" s="34">
        <f t="shared" si="133"/>
        <v>2039.6339749907468</v>
      </c>
      <c r="E688" s="34">
        <f t="shared" si="134"/>
        <v>6407.6991118430778</v>
      </c>
      <c r="F688" s="39">
        <f t="shared" si="135"/>
        <v>3203.8495559215389</v>
      </c>
      <c r="G688" s="46">
        <f t="shared" si="130"/>
        <v>1.06</v>
      </c>
      <c r="H688" s="5">
        <f t="shared" si="136"/>
        <v>420.2</v>
      </c>
      <c r="I688" s="4"/>
      <c r="J688" s="4">
        <v>0.06</v>
      </c>
      <c r="K688" s="5">
        <f t="shared" si="137"/>
        <v>382.2</v>
      </c>
      <c r="L688" s="4">
        <v>38</v>
      </c>
      <c r="M688" s="7">
        <f t="shared" si="138"/>
        <v>1.0659654631083202</v>
      </c>
      <c r="N688" s="6"/>
    </row>
    <row r="689" spans="1:14" x14ac:dyDescent="0.25">
      <c r="A689" s="4">
        <v>6380</v>
      </c>
      <c r="B689" s="5">
        <f t="shared" si="131"/>
        <v>6800.8</v>
      </c>
      <c r="C689" s="5">
        <f t="shared" si="132"/>
        <v>2030.8170738525846</v>
      </c>
      <c r="D689" s="34">
        <f t="shared" si="133"/>
        <v>2042.8170738525846</v>
      </c>
      <c r="E689" s="34">
        <f t="shared" si="134"/>
        <v>6417.6991118430778</v>
      </c>
      <c r="F689" s="39">
        <f t="shared" si="135"/>
        <v>3208.8495559215389</v>
      </c>
      <c r="G689" s="46">
        <f t="shared" si="130"/>
        <v>1.06</v>
      </c>
      <c r="H689" s="5">
        <f t="shared" si="136"/>
        <v>420.8</v>
      </c>
      <c r="I689" s="4"/>
      <c r="J689" s="4">
        <v>0.06</v>
      </c>
      <c r="K689" s="5">
        <f t="shared" si="137"/>
        <v>382.8</v>
      </c>
      <c r="L689" s="4">
        <v>38</v>
      </c>
      <c r="M689" s="7">
        <f t="shared" si="138"/>
        <v>1.0659561128526647</v>
      </c>
      <c r="N689" s="6"/>
    </row>
    <row r="690" spans="1:14" x14ac:dyDescent="0.25">
      <c r="A690" s="4">
        <v>6390</v>
      </c>
      <c r="B690" s="5">
        <f t="shared" si="131"/>
        <v>6811.4</v>
      </c>
      <c r="C690" s="5">
        <f t="shared" si="132"/>
        <v>2034.0001727144224</v>
      </c>
      <c r="D690" s="34">
        <f t="shared" si="133"/>
        <v>2046.0001727144224</v>
      </c>
      <c r="E690" s="34">
        <f t="shared" si="134"/>
        <v>6427.6991118430778</v>
      </c>
      <c r="F690" s="39">
        <f t="shared" si="135"/>
        <v>3213.8495559215389</v>
      </c>
      <c r="G690" s="46">
        <f t="shared" si="130"/>
        <v>1.06</v>
      </c>
      <c r="H690" s="5">
        <f t="shared" si="136"/>
        <v>421.4</v>
      </c>
      <c r="I690" s="4"/>
      <c r="J690" s="4">
        <v>0.06</v>
      </c>
      <c r="K690" s="5">
        <f t="shared" si="137"/>
        <v>383.4</v>
      </c>
      <c r="L690" s="4">
        <v>38</v>
      </c>
      <c r="M690" s="7">
        <f t="shared" si="138"/>
        <v>1.0659467918622847</v>
      </c>
      <c r="N690" s="6"/>
    </row>
    <row r="691" spans="1:14" x14ac:dyDescent="0.25">
      <c r="A691" s="4">
        <v>6400</v>
      </c>
      <c r="B691" s="5">
        <f t="shared" si="131"/>
        <v>6822</v>
      </c>
      <c r="C691" s="5">
        <f t="shared" si="132"/>
        <v>2037.1832715762603</v>
      </c>
      <c r="D691" s="34">
        <f t="shared" si="133"/>
        <v>2049.1832715762603</v>
      </c>
      <c r="E691" s="34">
        <f t="shared" si="134"/>
        <v>6437.6991118430769</v>
      </c>
      <c r="F691" s="39">
        <f t="shared" si="135"/>
        <v>3218.8495559215385</v>
      </c>
      <c r="G691" s="46">
        <f t="shared" si="130"/>
        <v>1.06</v>
      </c>
      <c r="H691" s="5">
        <f t="shared" si="136"/>
        <v>422</v>
      </c>
      <c r="I691" s="4"/>
      <c r="J691" s="4">
        <v>0.06</v>
      </c>
      <c r="K691" s="5">
        <f t="shared" si="137"/>
        <v>384</v>
      </c>
      <c r="L691" s="4">
        <v>38</v>
      </c>
      <c r="M691" s="7">
        <f t="shared" si="138"/>
        <v>1.0659375</v>
      </c>
      <c r="N691" s="6"/>
    </row>
    <row r="692" spans="1:14" x14ac:dyDescent="0.25">
      <c r="A692" s="4">
        <v>6410</v>
      </c>
      <c r="B692" s="5">
        <f t="shared" si="131"/>
        <v>6832.6</v>
      </c>
      <c r="C692" s="5">
        <f t="shared" si="132"/>
        <v>2040.3663704380983</v>
      </c>
      <c r="D692" s="34">
        <f t="shared" si="133"/>
        <v>2052.3663704380983</v>
      </c>
      <c r="E692" s="34">
        <f t="shared" si="134"/>
        <v>6447.6991118430778</v>
      </c>
      <c r="F692" s="39">
        <f t="shared" si="135"/>
        <v>3223.8495559215389</v>
      </c>
      <c r="G692" s="46">
        <f t="shared" si="130"/>
        <v>1.06</v>
      </c>
      <c r="H692" s="5">
        <f t="shared" si="136"/>
        <v>422.59999999999997</v>
      </c>
      <c r="I692" s="4"/>
      <c r="J692" s="4">
        <v>0.06</v>
      </c>
      <c r="K692" s="5">
        <f t="shared" si="137"/>
        <v>384.59999999999997</v>
      </c>
      <c r="L692" s="4">
        <v>38</v>
      </c>
      <c r="M692" s="7">
        <f t="shared" si="138"/>
        <v>1.0659282371294851</v>
      </c>
      <c r="N692" s="6"/>
    </row>
    <row r="693" spans="1:14" x14ac:dyDescent="0.25">
      <c r="A693" s="4">
        <v>6420</v>
      </c>
      <c r="B693" s="5">
        <f t="shared" si="131"/>
        <v>6843.2</v>
      </c>
      <c r="C693" s="5">
        <f t="shared" si="132"/>
        <v>2043.5494692999362</v>
      </c>
      <c r="D693" s="34">
        <f t="shared" si="133"/>
        <v>2055.5494692999364</v>
      </c>
      <c r="E693" s="34">
        <f t="shared" si="134"/>
        <v>6457.6991118430778</v>
      </c>
      <c r="F693" s="39">
        <f t="shared" si="135"/>
        <v>3228.8495559215389</v>
      </c>
      <c r="G693" s="46">
        <f t="shared" si="130"/>
        <v>1.06</v>
      </c>
      <c r="H693" s="5">
        <f t="shared" si="136"/>
        <v>423.2</v>
      </c>
      <c r="I693" s="4"/>
      <c r="J693" s="4">
        <v>0.06</v>
      </c>
      <c r="K693" s="5">
        <f t="shared" si="137"/>
        <v>385.2</v>
      </c>
      <c r="L693" s="4">
        <v>38</v>
      </c>
      <c r="M693" s="7">
        <f t="shared" si="138"/>
        <v>1.0659190031152648</v>
      </c>
      <c r="N693" s="6"/>
    </row>
    <row r="694" spans="1:14" x14ac:dyDescent="0.25">
      <c r="A694" s="4">
        <v>6430</v>
      </c>
      <c r="B694" s="5">
        <f t="shared" si="131"/>
        <v>6853.8</v>
      </c>
      <c r="C694" s="5">
        <f t="shared" si="132"/>
        <v>2046.732568161774</v>
      </c>
      <c r="D694" s="34">
        <f t="shared" si="133"/>
        <v>2058.732568161774</v>
      </c>
      <c r="E694" s="34">
        <f t="shared" si="134"/>
        <v>6467.6991118430769</v>
      </c>
      <c r="F694" s="39">
        <f t="shared" si="135"/>
        <v>3233.8495559215385</v>
      </c>
      <c r="G694" s="46">
        <f t="shared" si="130"/>
        <v>1.06</v>
      </c>
      <c r="H694" s="5">
        <f t="shared" si="136"/>
        <v>423.8</v>
      </c>
      <c r="I694" s="4"/>
      <c r="J694" s="4">
        <v>0.06</v>
      </c>
      <c r="K694" s="5">
        <f t="shared" si="137"/>
        <v>385.8</v>
      </c>
      <c r="L694" s="4">
        <v>38</v>
      </c>
      <c r="M694" s="7">
        <f t="shared" si="138"/>
        <v>1.0659097978227061</v>
      </c>
      <c r="N694" s="6"/>
    </row>
    <row r="695" spans="1:14" x14ac:dyDescent="0.25">
      <c r="A695" s="4">
        <v>6440</v>
      </c>
      <c r="B695" s="5">
        <f t="shared" si="131"/>
        <v>6864.4</v>
      </c>
      <c r="C695" s="5">
        <f t="shared" si="132"/>
        <v>2049.9156670236121</v>
      </c>
      <c r="D695" s="34">
        <f t="shared" si="133"/>
        <v>2061.9156670236121</v>
      </c>
      <c r="E695" s="34">
        <f t="shared" si="134"/>
        <v>6477.6991118430778</v>
      </c>
      <c r="F695" s="39">
        <f t="shared" si="135"/>
        <v>3238.8495559215389</v>
      </c>
      <c r="G695" s="46">
        <f t="shared" si="130"/>
        <v>1.06</v>
      </c>
      <c r="H695" s="5">
        <f t="shared" si="136"/>
        <v>424.4</v>
      </c>
      <c r="I695" s="4"/>
      <c r="J695" s="4">
        <v>0.06</v>
      </c>
      <c r="K695" s="5">
        <f t="shared" si="137"/>
        <v>386.4</v>
      </c>
      <c r="L695" s="4">
        <v>38</v>
      </c>
      <c r="M695" s="7">
        <f t="shared" si="138"/>
        <v>1.0659006211180124</v>
      </c>
      <c r="N695" s="6"/>
    </row>
    <row r="696" spans="1:14" x14ac:dyDescent="0.25">
      <c r="A696" s="4">
        <v>6450</v>
      </c>
      <c r="B696" s="5">
        <f t="shared" si="131"/>
        <v>6875</v>
      </c>
      <c r="C696" s="5">
        <f t="shared" si="132"/>
        <v>2053.0987658854501</v>
      </c>
      <c r="D696" s="34">
        <f t="shared" si="133"/>
        <v>2065.0987658854501</v>
      </c>
      <c r="E696" s="34">
        <f t="shared" si="134"/>
        <v>6487.6991118430778</v>
      </c>
      <c r="F696" s="39">
        <f t="shared" si="135"/>
        <v>3243.8495559215389</v>
      </c>
      <c r="G696" s="46">
        <f t="shared" si="130"/>
        <v>1.06</v>
      </c>
      <c r="H696" s="5">
        <f t="shared" si="136"/>
        <v>425</v>
      </c>
      <c r="I696" s="4"/>
      <c r="J696" s="4">
        <v>0.06</v>
      </c>
      <c r="K696" s="5">
        <f t="shared" si="137"/>
        <v>387</v>
      </c>
      <c r="L696" s="4">
        <v>38</v>
      </c>
      <c r="M696" s="7">
        <f t="shared" si="138"/>
        <v>1.0658914728682169</v>
      </c>
      <c r="N696" s="6"/>
    </row>
    <row r="697" spans="1:14" x14ac:dyDescent="0.25">
      <c r="A697" s="4">
        <v>6460</v>
      </c>
      <c r="B697" s="5">
        <f t="shared" si="131"/>
        <v>6885.6</v>
      </c>
      <c r="C697" s="5">
        <f t="shared" si="132"/>
        <v>2056.2818647472877</v>
      </c>
      <c r="D697" s="34">
        <f t="shared" si="133"/>
        <v>2068.2818647472877</v>
      </c>
      <c r="E697" s="34">
        <f t="shared" si="134"/>
        <v>6497.6991118430769</v>
      </c>
      <c r="F697" s="39">
        <f t="shared" si="135"/>
        <v>3248.8495559215385</v>
      </c>
      <c r="G697" s="46">
        <f t="shared" si="130"/>
        <v>1.06</v>
      </c>
      <c r="H697" s="5">
        <f t="shared" si="136"/>
        <v>425.59999999999997</v>
      </c>
      <c r="I697" s="4"/>
      <c r="J697" s="4">
        <v>0.06</v>
      </c>
      <c r="K697" s="5">
        <f t="shared" si="137"/>
        <v>387.59999999999997</v>
      </c>
      <c r="L697" s="4">
        <v>38</v>
      </c>
      <c r="M697" s="7">
        <f t="shared" si="138"/>
        <v>1.0658823529411765</v>
      </c>
      <c r="N697" s="6"/>
    </row>
    <row r="698" spans="1:14" x14ac:dyDescent="0.25">
      <c r="A698" s="4">
        <v>6470</v>
      </c>
      <c r="B698" s="5">
        <f t="shared" si="131"/>
        <v>6896.2</v>
      </c>
      <c r="C698" s="5">
        <f t="shared" si="132"/>
        <v>2059.4649636091258</v>
      </c>
      <c r="D698" s="34">
        <f t="shared" si="133"/>
        <v>2071.4649636091258</v>
      </c>
      <c r="E698" s="34">
        <f t="shared" si="134"/>
        <v>6507.6991118430778</v>
      </c>
      <c r="F698" s="39">
        <f t="shared" si="135"/>
        <v>3253.8495559215389</v>
      </c>
      <c r="G698" s="46">
        <f t="shared" si="130"/>
        <v>1.06</v>
      </c>
      <c r="H698" s="5">
        <f t="shared" si="136"/>
        <v>426.2</v>
      </c>
      <c r="I698" s="4"/>
      <c r="J698" s="4">
        <v>0.06</v>
      </c>
      <c r="K698" s="5">
        <f t="shared" si="137"/>
        <v>388.2</v>
      </c>
      <c r="L698" s="4">
        <v>38</v>
      </c>
      <c r="M698" s="7">
        <f t="shared" si="138"/>
        <v>1.0658732612055641</v>
      </c>
      <c r="N698" s="6"/>
    </row>
    <row r="699" spans="1:14" x14ac:dyDescent="0.25">
      <c r="A699" s="4">
        <v>6480</v>
      </c>
      <c r="B699" s="5">
        <f t="shared" si="131"/>
        <v>6906.8</v>
      </c>
      <c r="C699" s="5">
        <f t="shared" si="132"/>
        <v>2062.6480624709639</v>
      </c>
      <c r="D699" s="34">
        <f t="shared" si="133"/>
        <v>2074.6480624709639</v>
      </c>
      <c r="E699" s="34">
        <f t="shared" si="134"/>
        <v>6517.6991118430778</v>
      </c>
      <c r="F699" s="39">
        <f t="shared" si="135"/>
        <v>3258.8495559215389</v>
      </c>
      <c r="G699" s="46">
        <f t="shared" si="130"/>
        <v>1.06</v>
      </c>
      <c r="H699" s="5">
        <f t="shared" si="136"/>
        <v>426.8</v>
      </c>
      <c r="I699" s="4"/>
      <c r="J699" s="4">
        <v>0.06</v>
      </c>
      <c r="K699" s="5">
        <f t="shared" si="137"/>
        <v>388.8</v>
      </c>
      <c r="L699" s="4">
        <v>38</v>
      </c>
      <c r="M699" s="7">
        <f t="shared" si="138"/>
        <v>1.0658641975308643</v>
      </c>
      <c r="N699" s="6"/>
    </row>
    <row r="700" spans="1:14" x14ac:dyDescent="0.25">
      <c r="A700" s="4">
        <v>6490</v>
      </c>
      <c r="B700" s="5">
        <f t="shared" si="131"/>
        <v>6917.4</v>
      </c>
      <c r="C700" s="5">
        <f t="shared" si="132"/>
        <v>2065.8311613328015</v>
      </c>
      <c r="D700" s="34">
        <f t="shared" si="133"/>
        <v>2077.8311613328015</v>
      </c>
      <c r="E700" s="34">
        <f t="shared" si="134"/>
        <v>6527.6991118430769</v>
      </c>
      <c r="F700" s="39">
        <f t="shared" si="135"/>
        <v>3263.8495559215385</v>
      </c>
      <c r="G700" s="46">
        <f t="shared" si="130"/>
        <v>1.06</v>
      </c>
      <c r="H700" s="5">
        <f t="shared" si="136"/>
        <v>427.4</v>
      </c>
      <c r="I700" s="4"/>
      <c r="J700" s="4">
        <v>0.06</v>
      </c>
      <c r="K700" s="5">
        <f t="shared" si="137"/>
        <v>389.4</v>
      </c>
      <c r="L700" s="4">
        <v>38</v>
      </c>
      <c r="M700" s="7">
        <f t="shared" si="138"/>
        <v>1.0658551617873651</v>
      </c>
      <c r="N700" s="6"/>
    </row>
    <row r="701" spans="1:14" x14ac:dyDescent="0.25">
      <c r="A701" s="4">
        <v>6500</v>
      </c>
      <c r="B701" s="5">
        <f t="shared" si="131"/>
        <v>6928</v>
      </c>
      <c r="C701" s="5">
        <f t="shared" si="132"/>
        <v>2069.0142601946395</v>
      </c>
      <c r="D701" s="34">
        <f t="shared" si="133"/>
        <v>2081.0142601946395</v>
      </c>
      <c r="E701" s="34">
        <f t="shared" si="134"/>
        <v>6537.6991118430778</v>
      </c>
      <c r="F701" s="39">
        <f t="shared" si="135"/>
        <v>3268.8495559215389</v>
      </c>
      <c r="G701" s="46">
        <f t="shared" si="130"/>
        <v>1.06</v>
      </c>
      <c r="H701" s="5">
        <f t="shared" si="136"/>
        <v>428</v>
      </c>
      <c r="I701" s="4"/>
      <c r="J701" s="4">
        <v>0.06</v>
      </c>
      <c r="K701" s="5">
        <f t="shared" si="137"/>
        <v>390</v>
      </c>
      <c r="L701" s="4">
        <v>38</v>
      </c>
      <c r="M701" s="7">
        <f t="shared" si="138"/>
        <v>1.0658461538461539</v>
      </c>
      <c r="N701" s="6"/>
    </row>
    <row r="702" spans="1:14" x14ac:dyDescent="0.25">
      <c r="A702" s="4">
        <v>6510</v>
      </c>
      <c r="B702" s="5">
        <f t="shared" si="131"/>
        <v>6938.6</v>
      </c>
      <c r="C702" s="5">
        <f t="shared" si="132"/>
        <v>2072.1973590564771</v>
      </c>
      <c r="D702" s="34">
        <f t="shared" si="133"/>
        <v>2084.1973590564771</v>
      </c>
      <c r="E702" s="34">
        <f t="shared" si="134"/>
        <v>6547.6991118430769</v>
      </c>
      <c r="F702" s="39">
        <f t="shared" si="135"/>
        <v>3273.8495559215385</v>
      </c>
      <c r="G702" s="46">
        <f t="shared" si="130"/>
        <v>1.06</v>
      </c>
      <c r="H702" s="5">
        <f t="shared" si="136"/>
        <v>428.59999999999997</v>
      </c>
      <c r="I702" s="4"/>
      <c r="J702" s="4">
        <v>0.06</v>
      </c>
      <c r="K702" s="5">
        <f t="shared" si="137"/>
        <v>390.59999999999997</v>
      </c>
      <c r="L702" s="4">
        <v>38</v>
      </c>
      <c r="M702" s="7">
        <f t="shared" si="138"/>
        <v>1.065837173579109</v>
      </c>
      <c r="N702" s="6"/>
    </row>
    <row r="703" spans="1:14" x14ac:dyDescent="0.25">
      <c r="A703" s="4">
        <v>6520</v>
      </c>
      <c r="B703" s="5">
        <f t="shared" si="131"/>
        <v>6949.2</v>
      </c>
      <c r="C703" s="5">
        <f t="shared" si="132"/>
        <v>2075.3804579183152</v>
      </c>
      <c r="D703" s="34">
        <f t="shared" si="133"/>
        <v>2087.3804579183152</v>
      </c>
      <c r="E703" s="34">
        <f t="shared" si="134"/>
        <v>6557.6991118430769</v>
      </c>
      <c r="F703" s="39">
        <f t="shared" si="135"/>
        <v>3278.8495559215385</v>
      </c>
      <c r="G703" s="46">
        <f t="shared" si="130"/>
        <v>1.06</v>
      </c>
      <c r="H703" s="5">
        <f t="shared" si="136"/>
        <v>429.2</v>
      </c>
      <c r="I703" s="4"/>
      <c r="J703" s="4">
        <v>0.06</v>
      </c>
      <c r="K703" s="5">
        <f t="shared" si="137"/>
        <v>391.2</v>
      </c>
      <c r="L703" s="4">
        <v>38</v>
      </c>
      <c r="M703" s="7">
        <f t="shared" si="138"/>
        <v>1.0658282208588956</v>
      </c>
      <c r="N703" s="6"/>
    </row>
    <row r="704" spans="1:14" x14ac:dyDescent="0.25">
      <c r="A704" s="4">
        <v>6530</v>
      </c>
      <c r="B704" s="5">
        <f t="shared" si="131"/>
        <v>6959.8</v>
      </c>
      <c r="C704" s="5">
        <f t="shared" si="132"/>
        <v>2078.5635567801532</v>
      </c>
      <c r="D704" s="34">
        <f t="shared" si="133"/>
        <v>2090.5635567801532</v>
      </c>
      <c r="E704" s="34">
        <f t="shared" si="134"/>
        <v>6567.6991118430778</v>
      </c>
      <c r="F704" s="39">
        <f t="shared" si="135"/>
        <v>3283.8495559215389</v>
      </c>
      <c r="G704" s="46">
        <f t="shared" si="130"/>
        <v>1.06</v>
      </c>
      <c r="H704" s="5">
        <f t="shared" si="136"/>
        <v>429.8</v>
      </c>
      <c r="I704" s="4"/>
      <c r="J704" s="4">
        <v>0.06</v>
      </c>
      <c r="K704" s="5">
        <f t="shared" si="137"/>
        <v>391.8</v>
      </c>
      <c r="L704" s="4">
        <v>38</v>
      </c>
      <c r="M704" s="7">
        <f t="shared" si="138"/>
        <v>1.0658192955589587</v>
      </c>
      <c r="N704" s="6"/>
    </row>
    <row r="705" spans="1:14" x14ac:dyDescent="0.25">
      <c r="A705" s="4">
        <v>6540</v>
      </c>
      <c r="B705" s="5">
        <f t="shared" si="131"/>
        <v>6970.4</v>
      </c>
      <c r="C705" s="5">
        <f t="shared" si="132"/>
        <v>2081.7466556419909</v>
      </c>
      <c r="D705" s="34">
        <f t="shared" si="133"/>
        <v>2093.7466556419909</v>
      </c>
      <c r="E705" s="34">
        <f t="shared" si="134"/>
        <v>6577.6991118430769</v>
      </c>
      <c r="F705" s="39">
        <f t="shared" si="135"/>
        <v>3288.8495559215385</v>
      </c>
      <c r="G705" s="46">
        <f t="shared" si="130"/>
        <v>1.06</v>
      </c>
      <c r="H705" s="5">
        <f t="shared" si="136"/>
        <v>430.4</v>
      </c>
      <c r="I705" s="4"/>
      <c r="J705" s="4">
        <v>0.06</v>
      </c>
      <c r="K705" s="5">
        <f t="shared" si="137"/>
        <v>392.4</v>
      </c>
      <c r="L705" s="4">
        <v>38</v>
      </c>
      <c r="M705" s="7">
        <f t="shared" si="138"/>
        <v>1.0658103975535167</v>
      </c>
      <c r="N705" s="6"/>
    </row>
    <row r="706" spans="1:14" x14ac:dyDescent="0.25">
      <c r="A706" s="4">
        <v>6550</v>
      </c>
      <c r="B706" s="5">
        <f t="shared" si="131"/>
        <v>6981</v>
      </c>
      <c r="C706" s="5">
        <f t="shared" si="132"/>
        <v>2084.9297545038289</v>
      </c>
      <c r="D706" s="34">
        <f t="shared" si="133"/>
        <v>2096.9297545038289</v>
      </c>
      <c r="E706" s="34">
        <f t="shared" si="134"/>
        <v>6587.6991118430769</v>
      </c>
      <c r="F706" s="39">
        <f t="shared" si="135"/>
        <v>3293.8495559215385</v>
      </c>
      <c r="G706" s="46">
        <f t="shared" si="130"/>
        <v>1.06</v>
      </c>
      <c r="H706" s="5">
        <f t="shared" si="136"/>
        <v>431</v>
      </c>
      <c r="I706" s="4"/>
      <c r="J706" s="4">
        <v>0.06</v>
      </c>
      <c r="K706" s="5">
        <f t="shared" si="137"/>
        <v>393</v>
      </c>
      <c r="L706" s="4">
        <v>38</v>
      </c>
      <c r="M706" s="7">
        <f t="shared" si="138"/>
        <v>1.0658015267175573</v>
      </c>
      <c r="N706" s="6"/>
    </row>
    <row r="707" spans="1:14" x14ac:dyDescent="0.25">
      <c r="A707" s="4">
        <v>6560</v>
      </c>
      <c r="B707" s="5">
        <f t="shared" si="131"/>
        <v>6991.6</v>
      </c>
      <c r="C707" s="5">
        <f t="shared" si="132"/>
        <v>2088.112853365667</v>
      </c>
      <c r="D707" s="34">
        <f t="shared" si="133"/>
        <v>2100.112853365667</v>
      </c>
      <c r="E707" s="34">
        <f t="shared" si="134"/>
        <v>6597.6991118430778</v>
      </c>
      <c r="F707" s="39">
        <f t="shared" si="135"/>
        <v>3298.8495559215389</v>
      </c>
      <c r="G707" s="46">
        <f t="shared" si="130"/>
        <v>1.06</v>
      </c>
      <c r="H707" s="5">
        <f t="shared" si="136"/>
        <v>431.59999999999997</v>
      </c>
      <c r="I707" s="4"/>
      <c r="J707" s="4">
        <v>0.06</v>
      </c>
      <c r="K707" s="5">
        <f t="shared" si="137"/>
        <v>393.59999999999997</v>
      </c>
      <c r="L707" s="4">
        <v>38</v>
      </c>
      <c r="M707" s="7">
        <f t="shared" si="138"/>
        <v>1.0657926829268294</v>
      </c>
      <c r="N707" s="6"/>
    </row>
    <row r="708" spans="1:14" x14ac:dyDescent="0.25">
      <c r="A708" s="4">
        <v>6570</v>
      </c>
      <c r="B708" s="5">
        <f t="shared" si="131"/>
        <v>7002.2</v>
      </c>
      <c r="C708" s="5">
        <f t="shared" si="132"/>
        <v>2091.2959522275046</v>
      </c>
      <c r="D708" s="34">
        <f t="shared" si="133"/>
        <v>2103.2959522275046</v>
      </c>
      <c r="E708" s="34">
        <f t="shared" si="134"/>
        <v>6607.6991118430769</v>
      </c>
      <c r="F708" s="39">
        <f t="shared" si="135"/>
        <v>3303.8495559215385</v>
      </c>
      <c r="G708" s="46">
        <f t="shared" si="130"/>
        <v>1.06</v>
      </c>
      <c r="H708" s="5">
        <f t="shared" si="136"/>
        <v>432.2</v>
      </c>
      <c r="I708" s="4"/>
      <c r="J708" s="4">
        <v>0.06</v>
      </c>
      <c r="K708" s="5">
        <f t="shared" si="137"/>
        <v>394.2</v>
      </c>
      <c r="L708" s="4">
        <v>38</v>
      </c>
      <c r="M708" s="7">
        <f t="shared" si="138"/>
        <v>1.0657838660578387</v>
      </c>
      <c r="N708" s="6"/>
    </row>
    <row r="709" spans="1:14" x14ac:dyDescent="0.25">
      <c r="A709" s="4">
        <v>6580</v>
      </c>
      <c r="B709" s="5">
        <f t="shared" si="131"/>
        <v>7012.8</v>
      </c>
      <c r="C709" s="5">
        <f t="shared" si="132"/>
        <v>2094.4790510893426</v>
      </c>
      <c r="D709" s="34">
        <f t="shared" si="133"/>
        <v>2106.4790510893426</v>
      </c>
      <c r="E709" s="34">
        <f t="shared" si="134"/>
        <v>6617.6991118430769</v>
      </c>
      <c r="F709" s="39">
        <f t="shared" si="135"/>
        <v>3308.8495559215385</v>
      </c>
      <c r="G709" s="46">
        <f t="shared" si="130"/>
        <v>1.06</v>
      </c>
      <c r="H709" s="5">
        <f t="shared" si="136"/>
        <v>432.8</v>
      </c>
      <c r="I709" s="4"/>
      <c r="J709" s="4">
        <v>0.06</v>
      </c>
      <c r="K709" s="5">
        <f t="shared" si="137"/>
        <v>394.8</v>
      </c>
      <c r="L709" s="4">
        <v>38</v>
      </c>
      <c r="M709" s="7">
        <f t="shared" si="138"/>
        <v>1.0657750759878419</v>
      </c>
      <c r="N709" s="6"/>
    </row>
    <row r="710" spans="1:14" x14ac:dyDescent="0.25">
      <c r="A710" s="4">
        <v>6590</v>
      </c>
      <c r="B710" s="5">
        <f t="shared" si="131"/>
        <v>7023.4</v>
      </c>
      <c r="C710" s="5">
        <f t="shared" si="132"/>
        <v>2097.6621499511807</v>
      </c>
      <c r="D710" s="34">
        <f t="shared" si="133"/>
        <v>2109.6621499511807</v>
      </c>
      <c r="E710" s="34">
        <f t="shared" si="134"/>
        <v>6627.6991118430778</v>
      </c>
      <c r="F710" s="39">
        <f t="shared" si="135"/>
        <v>3313.8495559215389</v>
      </c>
      <c r="G710" s="46">
        <f t="shared" ref="G710:G773" si="139">ROUNDUP(B710/E710,2)</f>
        <v>1.06</v>
      </c>
      <c r="H710" s="5">
        <f t="shared" si="136"/>
        <v>433.4</v>
      </c>
      <c r="I710" s="4"/>
      <c r="J710" s="4">
        <v>0.06</v>
      </c>
      <c r="K710" s="5">
        <f t="shared" si="137"/>
        <v>395.4</v>
      </c>
      <c r="L710" s="4">
        <v>38</v>
      </c>
      <c r="M710" s="7">
        <f t="shared" si="138"/>
        <v>1.0657663125948407</v>
      </c>
      <c r="N710" s="6"/>
    </row>
    <row r="711" spans="1:14" x14ac:dyDescent="0.25">
      <c r="A711" s="4">
        <v>6600</v>
      </c>
      <c r="B711" s="5">
        <f t="shared" si="131"/>
        <v>7034</v>
      </c>
      <c r="C711" s="5">
        <f t="shared" si="132"/>
        <v>2100.8452488130183</v>
      </c>
      <c r="D711" s="34">
        <f t="shared" si="133"/>
        <v>2112.8452488130183</v>
      </c>
      <c r="E711" s="34">
        <f t="shared" si="134"/>
        <v>6637.6991118430769</v>
      </c>
      <c r="F711" s="39">
        <f t="shared" si="135"/>
        <v>3318.8495559215385</v>
      </c>
      <c r="G711" s="46">
        <f t="shared" si="139"/>
        <v>1.06</v>
      </c>
      <c r="H711" s="5">
        <f t="shared" si="136"/>
        <v>434</v>
      </c>
      <c r="I711" s="4"/>
      <c r="J711" s="4">
        <v>0.06</v>
      </c>
      <c r="K711" s="5">
        <f t="shared" si="137"/>
        <v>396</v>
      </c>
      <c r="L711" s="4">
        <v>38</v>
      </c>
      <c r="M711" s="7">
        <f t="shared" si="138"/>
        <v>1.0657575757575757</v>
      </c>
      <c r="N711" s="6"/>
    </row>
    <row r="712" spans="1:14" x14ac:dyDescent="0.25">
      <c r="A712" s="4">
        <v>6610</v>
      </c>
      <c r="B712" s="5">
        <f t="shared" si="131"/>
        <v>7044.6</v>
      </c>
      <c r="C712" s="5">
        <f t="shared" si="132"/>
        <v>2104.0283476748564</v>
      </c>
      <c r="D712" s="34">
        <f t="shared" si="133"/>
        <v>2116.0283476748564</v>
      </c>
      <c r="E712" s="34">
        <f t="shared" si="134"/>
        <v>6647.6991118430769</v>
      </c>
      <c r="F712" s="39">
        <f t="shared" si="135"/>
        <v>3323.8495559215385</v>
      </c>
      <c r="G712" s="46">
        <f t="shared" si="139"/>
        <v>1.06</v>
      </c>
      <c r="H712" s="5">
        <f t="shared" si="136"/>
        <v>434.59999999999997</v>
      </c>
      <c r="I712" s="4"/>
      <c r="J712" s="4">
        <v>0.06</v>
      </c>
      <c r="K712" s="5">
        <f t="shared" si="137"/>
        <v>396.59999999999997</v>
      </c>
      <c r="L712" s="4">
        <v>38</v>
      </c>
      <c r="M712" s="7">
        <f t="shared" si="138"/>
        <v>1.065748865355522</v>
      </c>
      <c r="N712" s="6"/>
    </row>
    <row r="713" spans="1:14" x14ac:dyDescent="0.25">
      <c r="A713" s="4">
        <v>6620</v>
      </c>
      <c r="B713" s="5">
        <f t="shared" si="131"/>
        <v>7055.2</v>
      </c>
      <c r="C713" s="5">
        <f t="shared" si="132"/>
        <v>2107.2114465366944</v>
      </c>
      <c r="D713" s="34">
        <f t="shared" si="133"/>
        <v>2119.2114465366944</v>
      </c>
      <c r="E713" s="34">
        <f t="shared" si="134"/>
        <v>6657.6991118430778</v>
      </c>
      <c r="F713" s="39">
        <f t="shared" si="135"/>
        <v>3328.8495559215389</v>
      </c>
      <c r="G713" s="46">
        <f t="shared" si="139"/>
        <v>1.06</v>
      </c>
      <c r="H713" s="5">
        <f t="shared" si="136"/>
        <v>435.2</v>
      </c>
      <c r="I713" s="4"/>
      <c r="J713" s="4">
        <v>0.06</v>
      </c>
      <c r="K713" s="5">
        <f t="shared" si="137"/>
        <v>397.2</v>
      </c>
      <c r="L713" s="4">
        <v>38</v>
      </c>
      <c r="M713" s="7">
        <f t="shared" si="138"/>
        <v>1.0657401812688823</v>
      </c>
      <c r="N713" s="6"/>
    </row>
    <row r="714" spans="1:14" x14ac:dyDescent="0.25">
      <c r="A714" s="4">
        <v>6630</v>
      </c>
      <c r="B714" s="5">
        <f t="shared" si="131"/>
        <v>7065.8</v>
      </c>
      <c r="C714" s="5">
        <f t="shared" si="132"/>
        <v>2110.394545398532</v>
      </c>
      <c r="D714" s="34">
        <f t="shared" si="133"/>
        <v>2122.394545398532</v>
      </c>
      <c r="E714" s="34">
        <f t="shared" si="134"/>
        <v>6667.6991118430769</v>
      </c>
      <c r="F714" s="39">
        <f t="shared" si="135"/>
        <v>3333.8495559215385</v>
      </c>
      <c r="G714" s="46">
        <f t="shared" si="139"/>
        <v>1.06</v>
      </c>
      <c r="H714" s="5">
        <f t="shared" si="136"/>
        <v>435.8</v>
      </c>
      <c r="I714" s="4"/>
      <c r="J714" s="4">
        <v>0.06</v>
      </c>
      <c r="K714" s="5">
        <f t="shared" si="137"/>
        <v>397.8</v>
      </c>
      <c r="L714" s="4">
        <v>38</v>
      </c>
      <c r="M714" s="7">
        <f t="shared" si="138"/>
        <v>1.0657315233785822</v>
      </c>
      <c r="N714" s="6"/>
    </row>
    <row r="715" spans="1:14" x14ac:dyDescent="0.25">
      <c r="A715" s="4">
        <v>6640</v>
      </c>
      <c r="B715" s="5">
        <f t="shared" si="131"/>
        <v>7076.4</v>
      </c>
      <c r="C715" s="5">
        <f t="shared" si="132"/>
        <v>2113.5776442603701</v>
      </c>
      <c r="D715" s="34">
        <f t="shared" si="133"/>
        <v>2125.5776442603701</v>
      </c>
      <c r="E715" s="34">
        <f t="shared" si="134"/>
        <v>6677.6991118430778</v>
      </c>
      <c r="F715" s="39">
        <f t="shared" si="135"/>
        <v>3338.8495559215389</v>
      </c>
      <c r="G715" s="46">
        <f t="shared" si="139"/>
        <v>1.06</v>
      </c>
      <c r="H715" s="5">
        <f t="shared" si="136"/>
        <v>436.4</v>
      </c>
      <c r="I715" s="4"/>
      <c r="J715" s="4">
        <v>0.06</v>
      </c>
      <c r="K715" s="5">
        <f t="shared" si="137"/>
        <v>398.4</v>
      </c>
      <c r="L715" s="4">
        <v>38</v>
      </c>
      <c r="M715" s="7">
        <f t="shared" si="138"/>
        <v>1.0657228915662651</v>
      </c>
      <c r="N715" s="6"/>
    </row>
    <row r="716" spans="1:14" x14ac:dyDescent="0.25">
      <c r="A716" s="4">
        <v>6650</v>
      </c>
      <c r="B716" s="5">
        <f t="shared" si="131"/>
        <v>7087</v>
      </c>
      <c r="C716" s="5">
        <f t="shared" si="132"/>
        <v>2116.7607431222082</v>
      </c>
      <c r="D716" s="34">
        <f t="shared" si="133"/>
        <v>2128.7607431222082</v>
      </c>
      <c r="E716" s="34">
        <f t="shared" si="134"/>
        <v>6687.6991118430778</v>
      </c>
      <c r="F716" s="39">
        <f t="shared" si="135"/>
        <v>3343.8495559215389</v>
      </c>
      <c r="G716" s="46">
        <f t="shared" si="139"/>
        <v>1.06</v>
      </c>
      <c r="H716" s="5">
        <f t="shared" si="136"/>
        <v>437</v>
      </c>
      <c r="I716" s="4"/>
      <c r="J716" s="4">
        <v>0.06</v>
      </c>
      <c r="K716" s="5">
        <f t="shared" si="137"/>
        <v>399</v>
      </c>
      <c r="L716" s="4">
        <v>38</v>
      </c>
      <c r="M716" s="7">
        <f t="shared" si="138"/>
        <v>1.0657142857142856</v>
      </c>
      <c r="N716" s="6"/>
    </row>
    <row r="717" spans="1:14" x14ac:dyDescent="0.25">
      <c r="A717" s="4">
        <v>6660</v>
      </c>
      <c r="B717" s="5">
        <f t="shared" si="131"/>
        <v>7097.6</v>
      </c>
      <c r="C717" s="5">
        <f t="shared" si="132"/>
        <v>2119.9438419840458</v>
      </c>
      <c r="D717" s="34">
        <f t="shared" si="133"/>
        <v>2131.9438419840458</v>
      </c>
      <c r="E717" s="34">
        <f t="shared" si="134"/>
        <v>6697.6991118430769</v>
      </c>
      <c r="F717" s="39">
        <f t="shared" si="135"/>
        <v>3348.8495559215385</v>
      </c>
      <c r="G717" s="46">
        <f t="shared" si="139"/>
        <v>1.06</v>
      </c>
      <c r="H717" s="5">
        <f t="shared" si="136"/>
        <v>437.59999999999997</v>
      </c>
      <c r="I717" s="4"/>
      <c r="J717" s="4">
        <v>0.06</v>
      </c>
      <c r="K717" s="5">
        <f t="shared" si="137"/>
        <v>399.59999999999997</v>
      </c>
      <c r="L717" s="4">
        <v>38</v>
      </c>
      <c r="M717" s="7">
        <f t="shared" si="138"/>
        <v>1.0657057057057058</v>
      </c>
      <c r="N717" s="6"/>
    </row>
    <row r="718" spans="1:14" x14ac:dyDescent="0.25">
      <c r="A718" s="4">
        <v>6670</v>
      </c>
      <c r="B718" s="5">
        <f t="shared" si="131"/>
        <v>7108.2</v>
      </c>
      <c r="C718" s="5">
        <f t="shared" si="132"/>
        <v>2123.1269408458838</v>
      </c>
      <c r="D718" s="34">
        <f t="shared" si="133"/>
        <v>2135.1269408458838</v>
      </c>
      <c r="E718" s="34">
        <f t="shared" si="134"/>
        <v>6707.6991118430778</v>
      </c>
      <c r="F718" s="39">
        <f t="shared" si="135"/>
        <v>3353.8495559215389</v>
      </c>
      <c r="G718" s="46">
        <f t="shared" si="139"/>
        <v>1.06</v>
      </c>
      <c r="H718" s="5">
        <f t="shared" si="136"/>
        <v>438.2</v>
      </c>
      <c r="I718" s="4"/>
      <c r="J718" s="4">
        <v>0.06</v>
      </c>
      <c r="K718" s="5">
        <f t="shared" si="137"/>
        <v>400.2</v>
      </c>
      <c r="L718" s="4">
        <v>38</v>
      </c>
      <c r="M718" s="7">
        <f t="shared" si="138"/>
        <v>1.0656971514242879</v>
      </c>
      <c r="N718" s="6"/>
    </row>
    <row r="719" spans="1:14" x14ac:dyDescent="0.25">
      <c r="A719" s="4">
        <v>6680</v>
      </c>
      <c r="B719" s="5">
        <f t="shared" si="131"/>
        <v>7118.8</v>
      </c>
      <c r="C719" s="5">
        <f t="shared" si="132"/>
        <v>2126.3100397077219</v>
      </c>
      <c r="D719" s="34">
        <f t="shared" si="133"/>
        <v>2138.3100397077219</v>
      </c>
      <c r="E719" s="34">
        <f t="shared" si="134"/>
        <v>6717.6991118430778</v>
      </c>
      <c r="F719" s="39">
        <f t="shared" si="135"/>
        <v>3358.8495559215389</v>
      </c>
      <c r="G719" s="46">
        <f t="shared" si="139"/>
        <v>1.06</v>
      </c>
      <c r="H719" s="5">
        <f t="shared" si="136"/>
        <v>438.8</v>
      </c>
      <c r="I719" s="4"/>
      <c r="J719" s="4">
        <v>0.06</v>
      </c>
      <c r="K719" s="5">
        <f t="shared" si="137"/>
        <v>400.8</v>
      </c>
      <c r="L719" s="4">
        <v>38</v>
      </c>
      <c r="M719" s="7">
        <f t="shared" si="138"/>
        <v>1.0656886227544911</v>
      </c>
      <c r="N719" s="6"/>
    </row>
    <row r="720" spans="1:14" x14ac:dyDescent="0.25">
      <c r="A720" s="4">
        <v>6690</v>
      </c>
      <c r="B720" s="5">
        <f t="shared" si="131"/>
        <v>7129.4</v>
      </c>
      <c r="C720" s="5">
        <f t="shared" si="132"/>
        <v>2129.4931385695595</v>
      </c>
      <c r="D720" s="34">
        <f t="shared" si="133"/>
        <v>2141.4931385695595</v>
      </c>
      <c r="E720" s="34">
        <f t="shared" si="134"/>
        <v>6727.6991118430769</v>
      </c>
      <c r="F720" s="39">
        <f t="shared" si="135"/>
        <v>3363.8495559215385</v>
      </c>
      <c r="G720" s="46">
        <f t="shared" si="139"/>
        <v>1.06</v>
      </c>
      <c r="H720" s="5">
        <f t="shared" si="136"/>
        <v>439.4</v>
      </c>
      <c r="I720" s="4"/>
      <c r="J720" s="4">
        <v>0.06</v>
      </c>
      <c r="K720" s="5">
        <f t="shared" si="137"/>
        <v>401.4</v>
      </c>
      <c r="L720" s="4">
        <v>38</v>
      </c>
      <c r="M720" s="7">
        <f t="shared" si="138"/>
        <v>1.0656801195814649</v>
      </c>
      <c r="N720" s="6"/>
    </row>
    <row r="721" spans="1:14" x14ac:dyDescent="0.25">
      <c r="A721" s="4">
        <v>6700</v>
      </c>
      <c r="B721" s="5">
        <f t="shared" si="131"/>
        <v>7140</v>
      </c>
      <c r="C721" s="5">
        <f t="shared" si="132"/>
        <v>2132.6762374313976</v>
      </c>
      <c r="D721" s="34">
        <f t="shared" si="133"/>
        <v>2144.6762374313976</v>
      </c>
      <c r="E721" s="34">
        <f t="shared" si="134"/>
        <v>6737.6991118430778</v>
      </c>
      <c r="F721" s="39">
        <f t="shared" si="135"/>
        <v>3368.8495559215389</v>
      </c>
      <c r="G721" s="46">
        <f t="shared" si="139"/>
        <v>1.06</v>
      </c>
      <c r="H721" s="5">
        <f t="shared" si="136"/>
        <v>440</v>
      </c>
      <c r="I721" s="4"/>
      <c r="J721" s="4">
        <v>0.06</v>
      </c>
      <c r="K721" s="5">
        <f t="shared" si="137"/>
        <v>402</v>
      </c>
      <c r="L721" s="4">
        <v>38</v>
      </c>
      <c r="M721" s="7">
        <f t="shared" si="138"/>
        <v>1.0656716417910448</v>
      </c>
      <c r="N721" s="6"/>
    </row>
    <row r="722" spans="1:14" x14ac:dyDescent="0.25">
      <c r="A722" s="4">
        <v>6710</v>
      </c>
      <c r="B722" s="5">
        <f t="shared" si="131"/>
        <v>7150.6</v>
      </c>
      <c r="C722" s="5">
        <f t="shared" si="132"/>
        <v>2135.8593362932356</v>
      </c>
      <c r="D722" s="34">
        <f t="shared" si="133"/>
        <v>2147.8593362932356</v>
      </c>
      <c r="E722" s="34">
        <f t="shared" si="134"/>
        <v>6747.6991118430778</v>
      </c>
      <c r="F722" s="39">
        <f t="shared" si="135"/>
        <v>3373.8495559215389</v>
      </c>
      <c r="G722" s="46">
        <f t="shared" si="139"/>
        <v>1.06</v>
      </c>
      <c r="H722" s="5">
        <f t="shared" si="136"/>
        <v>440.59999999999997</v>
      </c>
      <c r="I722" s="4"/>
      <c r="J722" s="4">
        <v>0.06</v>
      </c>
      <c r="K722" s="5">
        <f t="shared" si="137"/>
        <v>402.59999999999997</v>
      </c>
      <c r="L722" s="4">
        <v>38</v>
      </c>
      <c r="M722" s="7">
        <f t="shared" si="138"/>
        <v>1.0656631892697468</v>
      </c>
      <c r="N722" s="6"/>
    </row>
    <row r="723" spans="1:14" x14ac:dyDescent="0.25">
      <c r="A723" s="4">
        <v>6720</v>
      </c>
      <c r="B723" s="5">
        <f t="shared" si="131"/>
        <v>7161.2</v>
      </c>
      <c r="C723" s="5">
        <f t="shared" si="132"/>
        <v>2139.0424351550732</v>
      </c>
      <c r="D723" s="34">
        <f t="shared" si="133"/>
        <v>2151.0424351550732</v>
      </c>
      <c r="E723" s="34">
        <f t="shared" si="134"/>
        <v>6757.6991118430769</v>
      </c>
      <c r="F723" s="39">
        <f t="shared" si="135"/>
        <v>3378.8495559215385</v>
      </c>
      <c r="G723" s="46">
        <f t="shared" si="139"/>
        <v>1.06</v>
      </c>
      <c r="H723" s="5">
        <f t="shared" si="136"/>
        <v>441.2</v>
      </c>
      <c r="I723" s="4"/>
      <c r="J723" s="4">
        <v>0.06</v>
      </c>
      <c r="K723" s="5">
        <f t="shared" si="137"/>
        <v>403.2</v>
      </c>
      <c r="L723" s="4">
        <v>38</v>
      </c>
      <c r="M723" s="7">
        <f t="shared" si="138"/>
        <v>1.0656547619047618</v>
      </c>
      <c r="N723" s="6"/>
    </row>
    <row r="724" spans="1:14" x14ac:dyDescent="0.25">
      <c r="A724" s="4">
        <v>6730</v>
      </c>
      <c r="B724" s="5">
        <f t="shared" si="131"/>
        <v>7171.8</v>
      </c>
      <c r="C724" s="5">
        <f t="shared" si="132"/>
        <v>2142.2255340169113</v>
      </c>
      <c r="D724" s="34">
        <f t="shared" si="133"/>
        <v>2154.2255340169113</v>
      </c>
      <c r="E724" s="34">
        <f t="shared" si="134"/>
        <v>6767.6991118430778</v>
      </c>
      <c r="F724" s="39">
        <f t="shared" si="135"/>
        <v>3383.8495559215389</v>
      </c>
      <c r="G724" s="46">
        <f t="shared" si="139"/>
        <v>1.06</v>
      </c>
      <c r="H724" s="5">
        <f t="shared" si="136"/>
        <v>441.8</v>
      </c>
      <c r="I724" s="4"/>
      <c r="J724" s="4">
        <v>0.06</v>
      </c>
      <c r="K724" s="5">
        <f t="shared" si="137"/>
        <v>403.8</v>
      </c>
      <c r="L724" s="4">
        <v>38</v>
      </c>
      <c r="M724" s="7">
        <f t="shared" si="138"/>
        <v>1.0656463595839525</v>
      </c>
      <c r="N724" s="6"/>
    </row>
    <row r="725" spans="1:14" x14ac:dyDescent="0.25">
      <c r="A725" s="4">
        <v>6740</v>
      </c>
      <c r="B725" s="5">
        <f t="shared" si="131"/>
        <v>7182.4</v>
      </c>
      <c r="C725" s="5">
        <f t="shared" si="132"/>
        <v>2145.4086328787494</v>
      </c>
      <c r="D725" s="34">
        <f t="shared" si="133"/>
        <v>2157.4086328787494</v>
      </c>
      <c r="E725" s="34">
        <f t="shared" si="134"/>
        <v>6777.6991118430778</v>
      </c>
      <c r="F725" s="39">
        <f t="shared" si="135"/>
        <v>3388.8495559215389</v>
      </c>
      <c r="G725" s="46">
        <f t="shared" si="139"/>
        <v>1.06</v>
      </c>
      <c r="H725" s="5">
        <f t="shared" si="136"/>
        <v>442.4</v>
      </c>
      <c r="I725" s="4"/>
      <c r="J725" s="4">
        <v>0.06</v>
      </c>
      <c r="K725" s="5">
        <f t="shared" si="137"/>
        <v>404.4</v>
      </c>
      <c r="L725" s="4">
        <v>38</v>
      </c>
      <c r="M725" s="7">
        <f t="shared" si="138"/>
        <v>1.0656379821958457</v>
      </c>
      <c r="N725" s="6"/>
    </row>
    <row r="726" spans="1:14" x14ac:dyDescent="0.25">
      <c r="A726" s="4">
        <v>6750</v>
      </c>
      <c r="B726" s="5">
        <f t="shared" si="131"/>
        <v>7193</v>
      </c>
      <c r="C726" s="5">
        <f t="shared" si="132"/>
        <v>2148.591731740587</v>
      </c>
      <c r="D726" s="34">
        <f t="shared" si="133"/>
        <v>2160.591731740587</v>
      </c>
      <c r="E726" s="34">
        <f t="shared" si="134"/>
        <v>6787.6991118430769</v>
      </c>
      <c r="F726" s="39">
        <f t="shared" si="135"/>
        <v>3393.8495559215385</v>
      </c>
      <c r="G726" s="46">
        <f t="shared" si="139"/>
        <v>1.06</v>
      </c>
      <c r="H726" s="5">
        <f t="shared" si="136"/>
        <v>443</v>
      </c>
      <c r="I726" s="4"/>
      <c r="J726" s="4">
        <v>0.06</v>
      </c>
      <c r="K726" s="5">
        <f t="shared" si="137"/>
        <v>405</v>
      </c>
      <c r="L726" s="4">
        <v>38</v>
      </c>
      <c r="M726" s="7">
        <f t="shared" si="138"/>
        <v>1.0656296296296297</v>
      </c>
      <c r="N726" s="6"/>
    </row>
    <row r="727" spans="1:14" x14ac:dyDescent="0.25">
      <c r="A727" s="4">
        <v>6760</v>
      </c>
      <c r="B727" s="5">
        <f t="shared" si="131"/>
        <v>7203.6</v>
      </c>
      <c r="C727" s="5">
        <f t="shared" si="132"/>
        <v>2151.774830602425</v>
      </c>
      <c r="D727" s="34">
        <f t="shared" si="133"/>
        <v>2163.774830602425</v>
      </c>
      <c r="E727" s="34">
        <f t="shared" si="134"/>
        <v>6797.6991118430778</v>
      </c>
      <c r="F727" s="39">
        <f t="shared" si="135"/>
        <v>3398.8495559215389</v>
      </c>
      <c r="G727" s="46">
        <f t="shared" si="139"/>
        <v>1.06</v>
      </c>
      <c r="H727" s="5">
        <f t="shared" si="136"/>
        <v>443.59999999999997</v>
      </c>
      <c r="I727" s="4"/>
      <c r="J727" s="4">
        <v>0.06</v>
      </c>
      <c r="K727" s="5">
        <f t="shared" si="137"/>
        <v>405.59999999999997</v>
      </c>
      <c r="L727" s="4">
        <v>38</v>
      </c>
      <c r="M727" s="7">
        <f t="shared" si="138"/>
        <v>1.0656213017751479</v>
      </c>
      <c r="N727" s="6"/>
    </row>
    <row r="728" spans="1:14" x14ac:dyDescent="0.25">
      <c r="A728" s="4">
        <v>6770</v>
      </c>
      <c r="B728" s="5">
        <f t="shared" si="131"/>
        <v>7214.2</v>
      </c>
      <c r="C728" s="5">
        <f t="shared" si="132"/>
        <v>2154.9579294642631</v>
      </c>
      <c r="D728" s="34">
        <f t="shared" si="133"/>
        <v>2166.9579294642631</v>
      </c>
      <c r="E728" s="34">
        <f t="shared" si="134"/>
        <v>6807.6991118430778</v>
      </c>
      <c r="F728" s="39">
        <f t="shared" si="135"/>
        <v>3403.8495559215389</v>
      </c>
      <c r="G728" s="46">
        <f t="shared" si="139"/>
        <v>1.06</v>
      </c>
      <c r="H728" s="5">
        <f t="shared" si="136"/>
        <v>444.2</v>
      </c>
      <c r="I728" s="4"/>
      <c r="J728" s="4">
        <v>0.06</v>
      </c>
      <c r="K728" s="5">
        <f t="shared" si="137"/>
        <v>406.2</v>
      </c>
      <c r="L728" s="4">
        <v>38</v>
      </c>
      <c r="M728" s="7">
        <f t="shared" si="138"/>
        <v>1.065612998522895</v>
      </c>
      <c r="N728" s="6"/>
    </row>
    <row r="729" spans="1:14" x14ac:dyDescent="0.25">
      <c r="A729" s="4">
        <v>6780</v>
      </c>
      <c r="B729" s="5">
        <f t="shared" si="131"/>
        <v>7224.8</v>
      </c>
      <c r="C729" s="5">
        <f t="shared" si="132"/>
        <v>2158.1410283261007</v>
      </c>
      <c r="D729" s="34">
        <f t="shared" si="133"/>
        <v>2170.1410283261007</v>
      </c>
      <c r="E729" s="34">
        <f t="shared" si="134"/>
        <v>6817.6991118430769</v>
      </c>
      <c r="F729" s="39">
        <f t="shared" si="135"/>
        <v>3408.8495559215385</v>
      </c>
      <c r="G729" s="46">
        <f t="shared" si="139"/>
        <v>1.06</v>
      </c>
      <c r="H729" s="5">
        <f t="shared" si="136"/>
        <v>444.8</v>
      </c>
      <c r="I729" s="4"/>
      <c r="J729" s="4">
        <v>0.06</v>
      </c>
      <c r="K729" s="5">
        <f t="shared" si="137"/>
        <v>406.8</v>
      </c>
      <c r="L729" s="4">
        <v>38</v>
      </c>
      <c r="M729" s="7">
        <f t="shared" si="138"/>
        <v>1.0656047197640117</v>
      </c>
      <c r="N729" s="6"/>
    </row>
    <row r="730" spans="1:14" x14ac:dyDescent="0.25">
      <c r="A730" s="4">
        <v>6790</v>
      </c>
      <c r="B730" s="5">
        <f t="shared" si="131"/>
        <v>7235.4</v>
      </c>
      <c r="C730" s="5">
        <f t="shared" si="132"/>
        <v>2161.3241271879388</v>
      </c>
      <c r="D730" s="34">
        <f t="shared" si="133"/>
        <v>2173.3241271879388</v>
      </c>
      <c r="E730" s="34">
        <f t="shared" si="134"/>
        <v>6827.6991118430778</v>
      </c>
      <c r="F730" s="39">
        <f t="shared" si="135"/>
        <v>3413.8495559215389</v>
      </c>
      <c r="G730" s="46">
        <f t="shared" si="139"/>
        <v>1.06</v>
      </c>
      <c r="H730" s="5">
        <f t="shared" si="136"/>
        <v>445.4</v>
      </c>
      <c r="I730" s="4"/>
      <c r="J730" s="4">
        <v>0.06</v>
      </c>
      <c r="K730" s="5">
        <f t="shared" si="137"/>
        <v>407.4</v>
      </c>
      <c r="L730" s="4">
        <v>38</v>
      </c>
      <c r="M730" s="7">
        <f t="shared" si="138"/>
        <v>1.0655964653902799</v>
      </c>
      <c r="N730" s="6"/>
    </row>
    <row r="731" spans="1:14" x14ac:dyDescent="0.25">
      <c r="A731" s="4">
        <v>6800</v>
      </c>
      <c r="B731" s="5">
        <f t="shared" si="131"/>
        <v>7246</v>
      </c>
      <c r="C731" s="5">
        <f t="shared" si="132"/>
        <v>2164.5072260497768</v>
      </c>
      <c r="D731" s="34">
        <f t="shared" si="133"/>
        <v>2176.5072260497768</v>
      </c>
      <c r="E731" s="34">
        <f t="shared" si="134"/>
        <v>6837.6991118430778</v>
      </c>
      <c r="F731" s="39">
        <f t="shared" si="135"/>
        <v>3418.8495559215389</v>
      </c>
      <c r="G731" s="46">
        <f t="shared" si="139"/>
        <v>1.06</v>
      </c>
      <c r="H731" s="5">
        <f t="shared" si="136"/>
        <v>446</v>
      </c>
      <c r="I731" s="4"/>
      <c r="J731" s="4">
        <v>0.06</v>
      </c>
      <c r="K731" s="5">
        <f t="shared" si="137"/>
        <v>408</v>
      </c>
      <c r="L731" s="4">
        <v>38</v>
      </c>
      <c r="M731" s="7">
        <f t="shared" si="138"/>
        <v>1.0655882352941177</v>
      </c>
      <c r="N731" s="6"/>
    </row>
    <row r="732" spans="1:14" x14ac:dyDescent="0.25">
      <c r="A732" s="4">
        <v>6810</v>
      </c>
      <c r="B732" s="5">
        <f t="shared" si="131"/>
        <v>7256.6</v>
      </c>
      <c r="C732" s="5">
        <f t="shared" si="132"/>
        <v>2167.6903249116144</v>
      </c>
      <c r="D732" s="34">
        <f t="shared" si="133"/>
        <v>2179.6903249116144</v>
      </c>
      <c r="E732" s="34">
        <f t="shared" si="134"/>
        <v>6847.6991118430769</v>
      </c>
      <c r="F732" s="39">
        <f t="shared" si="135"/>
        <v>3423.8495559215385</v>
      </c>
      <c r="G732" s="46">
        <f t="shared" si="139"/>
        <v>1.06</v>
      </c>
      <c r="H732" s="5">
        <f t="shared" si="136"/>
        <v>446.59999999999997</v>
      </c>
      <c r="I732" s="4"/>
      <c r="J732" s="4">
        <v>0.06</v>
      </c>
      <c r="K732" s="5">
        <f t="shared" si="137"/>
        <v>408.59999999999997</v>
      </c>
      <c r="L732" s="4">
        <v>38</v>
      </c>
      <c r="M732" s="7">
        <f t="shared" si="138"/>
        <v>1.0655800293685758</v>
      </c>
      <c r="N732" s="6"/>
    </row>
    <row r="733" spans="1:14" x14ac:dyDescent="0.25">
      <c r="A733" s="4">
        <v>6820</v>
      </c>
      <c r="B733" s="5">
        <f t="shared" si="131"/>
        <v>7267.2</v>
      </c>
      <c r="C733" s="5">
        <f t="shared" si="132"/>
        <v>2170.8734237734525</v>
      </c>
      <c r="D733" s="34">
        <f t="shared" si="133"/>
        <v>2182.8734237734525</v>
      </c>
      <c r="E733" s="34">
        <f t="shared" si="134"/>
        <v>6857.6991118430778</v>
      </c>
      <c r="F733" s="39">
        <f t="shared" si="135"/>
        <v>3428.8495559215389</v>
      </c>
      <c r="G733" s="46">
        <f t="shared" si="139"/>
        <v>1.06</v>
      </c>
      <c r="H733" s="5">
        <f t="shared" si="136"/>
        <v>447.2</v>
      </c>
      <c r="I733" s="4"/>
      <c r="J733" s="4">
        <v>0.06</v>
      </c>
      <c r="K733" s="5">
        <f t="shared" si="137"/>
        <v>409.2</v>
      </c>
      <c r="L733" s="4">
        <v>38</v>
      </c>
      <c r="M733" s="7">
        <f t="shared" si="138"/>
        <v>1.0655718475073312</v>
      </c>
      <c r="N733" s="6"/>
    </row>
    <row r="734" spans="1:14" x14ac:dyDescent="0.25">
      <c r="A734" s="4">
        <v>6830</v>
      </c>
      <c r="B734" s="5">
        <f t="shared" si="131"/>
        <v>7277.8</v>
      </c>
      <c r="C734" s="5">
        <f t="shared" si="132"/>
        <v>2174.0565226352905</v>
      </c>
      <c r="D734" s="34">
        <f t="shared" si="133"/>
        <v>2186.0565226352905</v>
      </c>
      <c r="E734" s="34">
        <f t="shared" si="134"/>
        <v>6867.6991118430778</v>
      </c>
      <c r="F734" s="39">
        <f t="shared" si="135"/>
        <v>3433.8495559215389</v>
      </c>
      <c r="G734" s="46">
        <f t="shared" si="139"/>
        <v>1.06</v>
      </c>
      <c r="H734" s="5">
        <f t="shared" si="136"/>
        <v>447.8</v>
      </c>
      <c r="I734" s="4"/>
      <c r="J734" s="4">
        <v>0.06</v>
      </c>
      <c r="K734" s="5">
        <f t="shared" si="137"/>
        <v>409.8</v>
      </c>
      <c r="L734" s="4">
        <v>38</v>
      </c>
      <c r="M734" s="7">
        <f t="shared" si="138"/>
        <v>1.0655636896046852</v>
      </c>
      <c r="N734" s="6"/>
    </row>
    <row r="735" spans="1:14" x14ac:dyDescent="0.25">
      <c r="A735" s="4">
        <v>6840</v>
      </c>
      <c r="B735" s="5">
        <f t="shared" si="131"/>
        <v>7288.4</v>
      </c>
      <c r="C735" s="5">
        <f t="shared" si="132"/>
        <v>2177.2396214971282</v>
      </c>
      <c r="D735" s="34">
        <f t="shared" si="133"/>
        <v>2189.2396214971282</v>
      </c>
      <c r="E735" s="34">
        <f t="shared" si="134"/>
        <v>6877.6991118430769</v>
      </c>
      <c r="F735" s="39">
        <f t="shared" si="135"/>
        <v>3438.8495559215385</v>
      </c>
      <c r="G735" s="46">
        <f t="shared" si="139"/>
        <v>1.06</v>
      </c>
      <c r="H735" s="5">
        <f t="shared" si="136"/>
        <v>448.4</v>
      </c>
      <c r="I735" s="4"/>
      <c r="J735" s="4">
        <v>0.06</v>
      </c>
      <c r="K735" s="5">
        <f t="shared" si="137"/>
        <v>410.4</v>
      </c>
      <c r="L735" s="4">
        <v>38</v>
      </c>
      <c r="M735" s="7">
        <f t="shared" si="138"/>
        <v>1.0655555555555556</v>
      </c>
      <c r="N735" s="6"/>
    </row>
    <row r="736" spans="1:14" x14ac:dyDescent="0.25">
      <c r="A736" s="4">
        <v>6850</v>
      </c>
      <c r="B736" s="5">
        <f t="shared" si="131"/>
        <v>7299</v>
      </c>
      <c r="C736" s="5">
        <f t="shared" si="132"/>
        <v>2180.4227203589662</v>
      </c>
      <c r="D736" s="34">
        <f t="shared" si="133"/>
        <v>2192.4227203589662</v>
      </c>
      <c r="E736" s="34">
        <f t="shared" si="134"/>
        <v>6887.6991118430778</v>
      </c>
      <c r="F736" s="39">
        <f t="shared" si="135"/>
        <v>3443.8495559215389</v>
      </c>
      <c r="G736" s="46">
        <f t="shared" si="139"/>
        <v>1.06</v>
      </c>
      <c r="H736" s="5">
        <f t="shared" si="136"/>
        <v>449</v>
      </c>
      <c r="I736" s="4"/>
      <c r="J736" s="4">
        <v>0.06</v>
      </c>
      <c r="K736" s="5">
        <f t="shared" si="137"/>
        <v>411</v>
      </c>
      <c r="L736" s="4">
        <v>38</v>
      </c>
      <c r="M736" s="7">
        <f t="shared" si="138"/>
        <v>1.0655474452554745</v>
      </c>
      <c r="N736" s="6"/>
    </row>
    <row r="737" spans="1:14" x14ac:dyDescent="0.25">
      <c r="A737" s="4">
        <v>6860</v>
      </c>
      <c r="B737" s="5">
        <f t="shared" si="131"/>
        <v>7309.6</v>
      </c>
      <c r="C737" s="5">
        <f t="shared" si="132"/>
        <v>2183.6058192208043</v>
      </c>
      <c r="D737" s="34">
        <f t="shared" si="133"/>
        <v>2195.6058192208043</v>
      </c>
      <c r="E737" s="34">
        <f t="shared" si="134"/>
        <v>6897.6991118430778</v>
      </c>
      <c r="F737" s="39">
        <f t="shared" si="135"/>
        <v>3448.8495559215389</v>
      </c>
      <c r="G737" s="46">
        <f t="shared" si="139"/>
        <v>1.06</v>
      </c>
      <c r="H737" s="5">
        <f t="shared" si="136"/>
        <v>449.59999999999997</v>
      </c>
      <c r="I737" s="4"/>
      <c r="J737" s="4">
        <v>0.06</v>
      </c>
      <c r="K737" s="5">
        <f t="shared" si="137"/>
        <v>411.59999999999997</v>
      </c>
      <c r="L737" s="4">
        <v>38</v>
      </c>
      <c r="M737" s="7">
        <f t="shared" si="138"/>
        <v>1.0655393586005832</v>
      </c>
      <c r="N737" s="6"/>
    </row>
    <row r="738" spans="1:14" x14ac:dyDescent="0.25">
      <c r="A738" s="4">
        <v>6870</v>
      </c>
      <c r="B738" s="5">
        <f t="shared" si="131"/>
        <v>7320.2</v>
      </c>
      <c r="C738" s="5">
        <f t="shared" si="132"/>
        <v>2186.7889180826419</v>
      </c>
      <c r="D738" s="34">
        <f t="shared" si="133"/>
        <v>2198.7889180826419</v>
      </c>
      <c r="E738" s="34">
        <f t="shared" si="134"/>
        <v>6907.6991118430769</v>
      </c>
      <c r="F738" s="39">
        <f t="shared" si="135"/>
        <v>3453.8495559215385</v>
      </c>
      <c r="G738" s="46">
        <f t="shared" si="139"/>
        <v>1.06</v>
      </c>
      <c r="H738" s="5">
        <f t="shared" si="136"/>
        <v>450.2</v>
      </c>
      <c r="I738" s="4"/>
      <c r="J738" s="4">
        <v>0.06</v>
      </c>
      <c r="K738" s="5">
        <f t="shared" si="137"/>
        <v>412.2</v>
      </c>
      <c r="L738" s="4">
        <v>38</v>
      </c>
      <c r="M738" s="7">
        <f t="shared" si="138"/>
        <v>1.0655312954876273</v>
      </c>
      <c r="N738" s="6"/>
    </row>
    <row r="739" spans="1:14" x14ac:dyDescent="0.25">
      <c r="A739" s="4">
        <v>6880</v>
      </c>
      <c r="B739" s="5">
        <f t="shared" si="131"/>
        <v>7330.8</v>
      </c>
      <c r="C739" s="5">
        <f t="shared" si="132"/>
        <v>2189.9720169444799</v>
      </c>
      <c r="D739" s="34">
        <f t="shared" si="133"/>
        <v>2201.9720169444799</v>
      </c>
      <c r="E739" s="34">
        <f t="shared" si="134"/>
        <v>6917.6991118430778</v>
      </c>
      <c r="F739" s="39">
        <f t="shared" si="135"/>
        <v>3458.8495559215389</v>
      </c>
      <c r="G739" s="46">
        <f t="shared" si="139"/>
        <v>1.06</v>
      </c>
      <c r="H739" s="5">
        <f t="shared" si="136"/>
        <v>450.8</v>
      </c>
      <c r="I739" s="4"/>
      <c r="J739" s="4">
        <v>0.06</v>
      </c>
      <c r="K739" s="5">
        <f t="shared" si="137"/>
        <v>412.8</v>
      </c>
      <c r="L739" s="4">
        <v>38</v>
      </c>
      <c r="M739" s="7">
        <f t="shared" si="138"/>
        <v>1.0655232558139536</v>
      </c>
      <c r="N739" s="6"/>
    </row>
    <row r="740" spans="1:14" x14ac:dyDescent="0.25">
      <c r="A740" s="4">
        <v>6890</v>
      </c>
      <c r="B740" s="5">
        <f t="shared" si="131"/>
        <v>7341.4</v>
      </c>
      <c r="C740" s="5">
        <f t="shared" si="132"/>
        <v>2193.155115806318</v>
      </c>
      <c r="D740" s="34">
        <f t="shared" si="133"/>
        <v>2205.155115806318</v>
      </c>
      <c r="E740" s="34">
        <f t="shared" si="134"/>
        <v>6927.6991118430778</v>
      </c>
      <c r="F740" s="39">
        <f t="shared" si="135"/>
        <v>3463.8495559215389</v>
      </c>
      <c r="G740" s="46">
        <f t="shared" si="139"/>
        <v>1.06</v>
      </c>
      <c r="H740" s="5">
        <f t="shared" si="136"/>
        <v>451.4</v>
      </c>
      <c r="I740" s="4"/>
      <c r="J740" s="4">
        <v>0.06</v>
      </c>
      <c r="K740" s="5">
        <f t="shared" si="137"/>
        <v>413.4</v>
      </c>
      <c r="L740" s="4">
        <v>38</v>
      </c>
      <c r="M740" s="7">
        <f t="shared" si="138"/>
        <v>1.0655152394775036</v>
      </c>
      <c r="N740" s="6"/>
    </row>
    <row r="741" spans="1:14" x14ac:dyDescent="0.25">
      <c r="A741" s="4">
        <v>6900</v>
      </c>
      <c r="B741" s="5">
        <f t="shared" si="131"/>
        <v>7352</v>
      </c>
      <c r="C741" s="5">
        <f t="shared" si="132"/>
        <v>2196.3382146681556</v>
      </c>
      <c r="D741" s="34">
        <f t="shared" si="133"/>
        <v>2208.3382146681556</v>
      </c>
      <c r="E741" s="34">
        <f t="shared" si="134"/>
        <v>6937.6991118430769</v>
      </c>
      <c r="F741" s="39">
        <f t="shared" si="135"/>
        <v>3468.8495559215385</v>
      </c>
      <c r="G741" s="46">
        <f t="shared" si="139"/>
        <v>1.06</v>
      </c>
      <c r="H741" s="5">
        <f t="shared" si="136"/>
        <v>452</v>
      </c>
      <c r="I741" s="4"/>
      <c r="J741" s="4">
        <v>0.06</v>
      </c>
      <c r="K741" s="5">
        <f t="shared" si="137"/>
        <v>414</v>
      </c>
      <c r="L741" s="4">
        <v>38</v>
      </c>
      <c r="M741" s="7">
        <f t="shared" si="138"/>
        <v>1.0655072463768116</v>
      </c>
      <c r="N741" s="6"/>
    </row>
    <row r="742" spans="1:14" x14ac:dyDescent="0.25">
      <c r="A742" s="4">
        <v>6910</v>
      </c>
      <c r="B742" s="5">
        <f t="shared" si="131"/>
        <v>7362.6</v>
      </c>
      <c r="C742" s="5">
        <f t="shared" si="132"/>
        <v>2199.5213135299937</v>
      </c>
      <c r="D742" s="34">
        <f t="shared" si="133"/>
        <v>2211.5213135299937</v>
      </c>
      <c r="E742" s="34">
        <f t="shared" si="134"/>
        <v>6947.6991118430778</v>
      </c>
      <c r="F742" s="39">
        <f t="shared" si="135"/>
        <v>3473.8495559215389</v>
      </c>
      <c r="G742" s="46">
        <f t="shared" si="139"/>
        <v>1.06</v>
      </c>
      <c r="H742" s="5">
        <f t="shared" si="136"/>
        <v>452.59999999999997</v>
      </c>
      <c r="I742" s="4"/>
      <c r="J742" s="4">
        <v>0.06</v>
      </c>
      <c r="K742" s="5">
        <f t="shared" si="137"/>
        <v>414.59999999999997</v>
      </c>
      <c r="L742" s="4">
        <v>38</v>
      </c>
      <c r="M742" s="7">
        <f t="shared" si="138"/>
        <v>1.0654992764109985</v>
      </c>
      <c r="N742" s="6"/>
    </row>
    <row r="743" spans="1:14" x14ac:dyDescent="0.25">
      <c r="A743" s="4">
        <v>6920</v>
      </c>
      <c r="B743" s="5">
        <f t="shared" si="131"/>
        <v>7373.2</v>
      </c>
      <c r="C743" s="5">
        <f t="shared" si="132"/>
        <v>2202.7044123918317</v>
      </c>
      <c r="D743" s="34">
        <f t="shared" si="133"/>
        <v>2214.7044123918317</v>
      </c>
      <c r="E743" s="34">
        <f t="shared" si="134"/>
        <v>6957.6991118430778</v>
      </c>
      <c r="F743" s="39">
        <f t="shared" si="135"/>
        <v>3478.8495559215389</v>
      </c>
      <c r="G743" s="46">
        <f t="shared" si="139"/>
        <v>1.06</v>
      </c>
      <c r="H743" s="5">
        <f t="shared" si="136"/>
        <v>453.2</v>
      </c>
      <c r="I743" s="4"/>
      <c r="J743" s="4">
        <v>0.06</v>
      </c>
      <c r="K743" s="5">
        <f t="shared" si="137"/>
        <v>415.2</v>
      </c>
      <c r="L743" s="4">
        <v>38</v>
      </c>
      <c r="M743" s="7">
        <f t="shared" si="138"/>
        <v>1.0654913294797688</v>
      </c>
      <c r="N743" s="6"/>
    </row>
    <row r="744" spans="1:14" x14ac:dyDescent="0.25">
      <c r="A744" s="4">
        <v>6930</v>
      </c>
      <c r="B744" s="5">
        <f t="shared" si="131"/>
        <v>7383.8</v>
      </c>
      <c r="C744" s="5">
        <f t="shared" si="132"/>
        <v>2205.8875112536693</v>
      </c>
      <c r="D744" s="34">
        <f t="shared" si="133"/>
        <v>2217.8875112536693</v>
      </c>
      <c r="E744" s="34">
        <f t="shared" si="134"/>
        <v>6967.6991118430769</v>
      </c>
      <c r="F744" s="39">
        <f t="shared" si="135"/>
        <v>3483.8495559215385</v>
      </c>
      <c r="G744" s="46">
        <f t="shared" si="139"/>
        <v>1.06</v>
      </c>
      <c r="H744" s="5">
        <f t="shared" si="136"/>
        <v>453.8</v>
      </c>
      <c r="I744" s="4"/>
      <c r="J744" s="4">
        <v>0.06</v>
      </c>
      <c r="K744" s="5">
        <f t="shared" si="137"/>
        <v>415.8</v>
      </c>
      <c r="L744" s="4">
        <v>38</v>
      </c>
      <c r="M744" s="7">
        <f t="shared" si="138"/>
        <v>1.0654834054834055</v>
      </c>
      <c r="N744" s="6"/>
    </row>
    <row r="745" spans="1:14" x14ac:dyDescent="0.25">
      <c r="A745" s="4">
        <v>6940</v>
      </c>
      <c r="B745" s="5">
        <f t="shared" si="131"/>
        <v>7394.4</v>
      </c>
      <c r="C745" s="5">
        <f t="shared" si="132"/>
        <v>2209.0706101155074</v>
      </c>
      <c r="D745" s="34">
        <f t="shared" si="133"/>
        <v>2221.0706101155074</v>
      </c>
      <c r="E745" s="34">
        <f t="shared" si="134"/>
        <v>6977.6991118430778</v>
      </c>
      <c r="F745" s="39">
        <f t="shared" si="135"/>
        <v>3488.8495559215389</v>
      </c>
      <c r="G745" s="46">
        <f t="shared" si="139"/>
        <v>1.06</v>
      </c>
      <c r="H745" s="5">
        <f t="shared" si="136"/>
        <v>454.4</v>
      </c>
      <c r="I745" s="4"/>
      <c r="J745" s="4">
        <v>0.06</v>
      </c>
      <c r="K745" s="5">
        <f t="shared" si="137"/>
        <v>416.4</v>
      </c>
      <c r="L745" s="4">
        <v>38</v>
      </c>
      <c r="M745" s="7">
        <f t="shared" si="138"/>
        <v>1.0654755043227666</v>
      </c>
      <c r="N745" s="6"/>
    </row>
    <row r="746" spans="1:14" x14ac:dyDescent="0.25">
      <c r="A746" s="4">
        <v>6950</v>
      </c>
      <c r="B746" s="5">
        <f t="shared" si="131"/>
        <v>7405</v>
      </c>
      <c r="C746" s="5">
        <f t="shared" si="132"/>
        <v>2212.2537089773455</v>
      </c>
      <c r="D746" s="34">
        <f t="shared" si="133"/>
        <v>2224.2537089773455</v>
      </c>
      <c r="E746" s="34">
        <f t="shared" si="134"/>
        <v>6987.6991118430778</v>
      </c>
      <c r="F746" s="39">
        <f t="shared" si="135"/>
        <v>3493.8495559215389</v>
      </c>
      <c r="G746" s="46">
        <f t="shared" si="139"/>
        <v>1.06</v>
      </c>
      <c r="H746" s="5">
        <f t="shared" si="136"/>
        <v>455</v>
      </c>
      <c r="I746" s="4"/>
      <c r="J746" s="4">
        <v>0.06</v>
      </c>
      <c r="K746" s="5">
        <f t="shared" si="137"/>
        <v>417</v>
      </c>
      <c r="L746" s="4">
        <v>38</v>
      </c>
      <c r="M746" s="7">
        <f t="shared" si="138"/>
        <v>1.0654676258992806</v>
      </c>
      <c r="N746" s="6"/>
    </row>
    <row r="747" spans="1:14" x14ac:dyDescent="0.25">
      <c r="A747" s="4">
        <v>6960</v>
      </c>
      <c r="B747" s="5">
        <f t="shared" si="131"/>
        <v>7415.6</v>
      </c>
      <c r="C747" s="5">
        <f t="shared" si="132"/>
        <v>2215.4368078391831</v>
      </c>
      <c r="D747" s="34">
        <f t="shared" si="133"/>
        <v>2227.4368078391831</v>
      </c>
      <c r="E747" s="34">
        <f t="shared" si="134"/>
        <v>6997.6991118430769</v>
      </c>
      <c r="F747" s="39">
        <f t="shared" si="135"/>
        <v>3498.8495559215385</v>
      </c>
      <c r="G747" s="46">
        <f t="shared" si="139"/>
        <v>1.06</v>
      </c>
      <c r="H747" s="5">
        <f t="shared" si="136"/>
        <v>455.59999999999997</v>
      </c>
      <c r="I747" s="4"/>
      <c r="J747" s="4">
        <v>0.06</v>
      </c>
      <c r="K747" s="5">
        <f t="shared" si="137"/>
        <v>417.59999999999997</v>
      </c>
      <c r="L747" s="4">
        <v>38</v>
      </c>
      <c r="M747" s="7">
        <f t="shared" si="138"/>
        <v>1.0654597701149426</v>
      </c>
      <c r="N747" s="6"/>
    </row>
    <row r="748" spans="1:14" x14ac:dyDescent="0.25">
      <c r="A748" s="4">
        <v>6970</v>
      </c>
      <c r="B748" s="5">
        <f t="shared" si="131"/>
        <v>7426.2</v>
      </c>
      <c r="C748" s="5">
        <f t="shared" si="132"/>
        <v>2218.6199067010211</v>
      </c>
      <c r="D748" s="34">
        <f t="shared" si="133"/>
        <v>2230.6199067010211</v>
      </c>
      <c r="E748" s="34">
        <f t="shared" si="134"/>
        <v>7007.6991118430778</v>
      </c>
      <c r="F748" s="39">
        <f t="shared" si="135"/>
        <v>3503.8495559215389</v>
      </c>
      <c r="G748" s="46">
        <f t="shared" si="139"/>
        <v>1.06</v>
      </c>
      <c r="H748" s="5">
        <f t="shared" si="136"/>
        <v>456.2</v>
      </c>
      <c r="I748" s="4"/>
      <c r="J748" s="4">
        <v>0.06</v>
      </c>
      <c r="K748" s="5">
        <f t="shared" si="137"/>
        <v>418.2</v>
      </c>
      <c r="L748" s="4">
        <v>38</v>
      </c>
      <c r="M748" s="7">
        <f t="shared" si="138"/>
        <v>1.0654519368723099</v>
      </c>
      <c r="N748" s="6"/>
    </row>
    <row r="749" spans="1:14" x14ac:dyDescent="0.25">
      <c r="A749" s="4">
        <v>6980</v>
      </c>
      <c r="B749" s="5">
        <f t="shared" si="131"/>
        <v>7436.8</v>
      </c>
      <c r="C749" s="5">
        <f t="shared" si="132"/>
        <v>2221.8030055628592</v>
      </c>
      <c r="D749" s="34">
        <f t="shared" si="133"/>
        <v>2233.8030055628592</v>
      </c>
      <c r="E749" s="34">
        <f t="shared" si="134"/>
        <v>7017.6991118430778</v>
      </c>
      <c r="F749" s="39">
        <f t="shared" si="135"/>
        <v>3508.8495559215389</v>
      </c>
      <c r="G749" s="46">
        <f t="shared" si="139"/>
        <v>1.06</v>
      </c>
      <c r="H749" s="5">
        <f t="shared" si="136"/>
        <v>456.8</v>
      </c>
      <c r="I749" s="4"/>
      <c r="J749" s="4">
        <v>0.06</v>
      </c>
      <c r="K749" s="5">
        <f t="shared" si="137"/>
        <v>418.8</v>
      </c>
      <c r="L749" s="4">
        <v>38</v>
      </c>
      <c r="M749" s="7">
        <f t="shared" si="138"/>
        <v>1.0654441260744987</v>
      </c>
      <c r="N749" s="6"/>
    </row>
    <row r="750" spans="1:14" x14ac:dyDescent="0.25">
      <c r="A750" s="4">
        <v>6990</v>
      </c>
      <c r="B750" s="5">
        <f t="shared" ref="B750:B813" si="140">A750+K750+L750</f>
        <v>7447.4</v>
      </c>
      <c r="C750" s="5">
        <f t="shared" ref="C750:C813" si="141">A750/PI()</f>
        <v>2224.9861044246968</v>
      </c>
      <c r="D750" s="34">
        <f t="shared" ref="D750:D813" si="142">C750+12</f>
        <v>2236.9861044246968</v>
      </c>
      <c r="E750" s="34">
        <f t="shared" ref="E750:E813" si="143">D750*PI()</f>
        <v>7027.6991118430769</v>
      </c>
      <c r="F750" s="39">
        <f t="shared" ref="F750:F813" si="144">E750/2</f>
        <v>3513.8495559215385</v>
      </c>
      <c r="G750" s="46">
        <f t="shared" si="139"/>
        <v>1.06</v>
      </c>
      <c r="H750" s="5">
        <f t="shared" ref="H750:H813" si="145">K750+L750</f>
        <v>457.4</v>
      </c>
      <c r="I750" s="4"/>
      <c r="J750" s="4">
        <v>0.06</v>
      </c>
      <c r="K750" s="5">
        <f t="shared" ref="K750:K813" si="146">A750*J750</f>
        <v>419.4</v>
      </c>
      <c r="L750" s="4">
        <v>38</v>
      </c>
      <c r="M750" s="7">
        <f t="shared" ref="M750:M813" si="147">B750/A750</f>
        <v>1.0654363376251788</v>
      </c>
      <c r="N750" s="6"/>
    </row>
    <row r="751" spans="1:14" x14ac:dyDescent="0.25">
      <c r="A751" s="4">
        <v>7000</v>
      </c>
      <c r="B751" s="5">
        <f t="shared" si="140"/>
        <v>7458</v>
      </c>
      <c r="C751" s="5">
        <f t="shared" si="141"/>
        <v>2228.1692032865349</v>
      </c>
      <c r="D751" s="34">
        <f t="shared" si="142"/>
        <v>2240.1692032865349</v>
      </c>
      <c r="E751" s="34">
        <f t="shared" si="143"/>
        <v>7037.6991118430778</v>
      </c>
      <c r="F751" s="39">
        <f t="shared" si="144"/>
        <v>3518.8495559215389</v>
      </c>
      <c r="G751" s="46">
        <f t="shared" si="139"/>
        <v>1.06</v>
      </c>
      <c r="H751" s="5">
        <f t="shared" si="145"/>
        <v>458</v>
      </c>
      <c r="I751" s="4"/>
      <c r="J751" s="4">
        <v>0.06</v>
      </c>
      <c r="K751" s="5">
        <f t="shared" si="146"/>
        <v>420</v>
      </c>
      <c r="L751" s="4">
        <v>38</v>
      </c>
      <c r="M751" s="7">
        <f t="shared" si="147"/>
        <v>1.0654285714285714</v>
      </c>
      <c r="N751" s="6"/>
    </row>
    <row r="752" spans="1:14" x14ac:dyDescent="0.25">
      <c r="A752" s="4">
        <v>7010</v>
      </c>
      <c r="B752" s="5">
        <f t="shared" si="140"/>
        <v>7468.6</v>
      </c>
      <c r="C752" s="5">
        <f t="shared" si="141"/>
        <v>2231.3523021483725</v>
      </c>
      <c r="D752" s="34">
        <f t="shared" si="142"/>
        <v>2243.3523021483725</v>
      </c>
      <c r="E752" s="34">
        <f t="shared" si="143"/>
        <v>7047.6991118430769</v>
      </c>
      <c r="F752" s="39">
        <f t="shared" si="144"/>
        <v>3523.8495559215385</v>
      </c>
      <c r="G752" s="46">
        <f t="shared" si="139"/>
        <v>1.06</v>
      </c>
      <c r="H752" s="5">
        <f t="shared" si="145"/>
        <v>458.59999999999997</v>
      </c>
      <c r="I752" s="4"/>
      <c r="J752" s="4">
        <v>0.06</v>
      </c>
      <c r="K752" s="5">
        <f t="shared" si="146"/>
        <v>420.59999999999997</v>
      </c>
      <c r="L752" s="4">
        <v>38</v>
      </c>
      <c r="M752" s="7">
        <f t="shared" si="147"/>
        <v>1.0654208273894437</v>
      </c>
      <c r="N752" s="6"/>
    </row>
    <row r="753" spans="1:14" x14ac:dyDescent="0.25">
      <c r="A753" s="4">
        <v>7020</v>
      </c>
      <c r="B753" s="5">
        <f t="shared" si="140"/>
        <v>7479.2</v>
      </c>
      <c r="C753" s="5">
        <f t="shared" si="141"/>
        <v>2234.5354010102105</v>
      </c>
      <c r="D753" s="34">
        <f t="shared" si="142"/>
        <v>2246.5354010102105</v>
      </c>
      <c r="E753" s="34">
        <f t="shared" si="143"/>
        <v>7057.6991118430769</v>
      </c>
      <c r="F753" s="39">
        <f t="shared" si="144"/>
        <v>3528.8495559215385</v>
      </c>
      <c r="G753" s="46">
        <f t="shared" si="139"/>
        <v>1.06</v>
      </c>
      <c r="H753" s="5">
        <f t="shared" si="145"/>
        <v>459.2</v>
      </c>
      <c r="I753" s="4"/>
      <c r="J753" s="4">
        <v>0.06</v>
      </c>
      <c r="K753" s="5">
        <f t="shared" si="146"/>
        <v>421.2</v>
      </c>
      <c r="L753" s="4">
        <v>38</v>
      </c>
      <c r="M753" s="7">
        <f t="shared" si="147"/>
        <v>1.0654131054131053</v>
      </c>
      <c r="N753" s="6"/>
    </row>
    <row r="754" spans="1:14" x14ac:dyDescent="0.25">
      <c r="A754" s="4">
        <v>7030</v>
      </c>
      <c r="B754" s="5">
        <f t="shared" si="140"/>
        <v>7489.8</v>
      </c>
      <c r="C754" s="5">
        <f t="shared" si="141"/>
        <v>2237.7184998720486</v>
      </c>
      <c r="D754" s="34">
        <f t="shared" si="142"/>
        <v>2249.7184998720486</v>
      </c>
      <c r="E754" s="34">
        <f t="shared" si="143"/>
        <v>7067.6991118430778</v>
      </c>
      <c r="F754" s="39">
        <f t="shared" si="144"/>
        <v>3533.8495559215389</v>
      </c>
      <c r="G754" s="46">
        <f t="shared" si="139"/>
        <v>1.06</v>
      </c>
      <c r="H754" s="5">
        <f t="shared" si="145"/>
        <v>459.8</v>
      </c>
      <c r="I754" s="4"/>
      <c r="J754" s="4">
        <v>0.06</v>
      </c>
      <c r="K754" s="5">
        <f t="shared" si="146"/>
        <v>421.8</v>
      </c>
      <c r="L754" s="4">
        <v>38</v>
      </c>
      <c r="M754" s="7">
        <f t="shared" si="147"/>
        <v>1.0654054054054054</v>
      </c>
      <c r="N754" s="6"/>
    </row>
    <row r="755" spans="1:14" x14ac:dyDescent="0.25">
      <c r="A755" s="4">
        <v>7040</v>
      </c>
      <c r="B755" s="5">
        <f t="shared" si="140"/>
        <v>7500.4</v>
      </c>
      <c r="C755" s="5">
        <f t="shared" si="141"/>
        <v>2240.9015987338862</v>
      </c>
      <c r="D755" s="34">
        <f t="shared" si="142"/>
        <v>2252.9015987338862</v>
      </c>
      <c r="E755" s="34">
        <f t="shared" si="143"/>
        <v>7077.6991118430769</v>
      </c>
      <c r="F755" s="39">
        <f t="shared" si="144"/>
        <v>3538.8495559215385</v>
      </c>
      <c r="G755" s="46">
        <f t="shared" si="139"/>
        <v>1.06</v>
      </c>
      <c r="H755" s="5">
        <f t="shared" si="145"/>
        <v>460.4</v>
      </c>
      <c r="I755" s="4"/>
      <c r="J755" s="4">
        <v>0.06</v>
      </c>
      <c r="K755" s="5">
        <f t="shared" si="146"/>
        <v>422.4</v>
      </c>
      <c r="L755" s="4">
        <v>38</v>
      </c>
      <c r="M755" s="7">
        <f t="shared" si="147"/>
        <v>1.0653977272727273</v>
      </c>
      <c r="N755" s="6"/>
    </row>
    <row r="756" spans="1:14" x14ac:dyDescent="0.25">
      <c r="A756" s="4">
        <v>7050</v>
      </c>
      <c r="B756" s="5">
        <f t="shared" si="140"/>
        <v>7511</v>
      </c>
      <c r="C756" s="5">
        <f t="shared" si="141"/>
        <v>2244.0846975957243</v>
      </c>
      <c r="D756" s="34">
        <f t="shared" si="142"/>
        <v>2256.0846975957243</v>
      </c>
      <c r="E756" s="34">
        <f t="shared" si="143"/>
        <v>7087.6991118430769</v>
      </c>
      <c r="F756" s="39">
        <f t="shared" si="144"/>
        <v>3543.8495559215385</v>
      </c>
      <c r="G756" s="46">
        <f t="shared" si="139"/>
        <v>1.06</v>
      </c>
      <c r="H756" s="5">
        <f t="shared" si="145"/>
        <v>461</v>
      </c>
      <c r="I756" s="4"/>
      <c r="J756" s="4">
        <v>0.06</v>
      </c>
      <c r="K756" s="5">
        <f t="shared" si="146"/>
        <v>423</v>
      </c>
      <c r="L756" s="4">
        <v>38</v>
      </c>
      <c r="M756" s="7">
        <f t="shared" si="147"/>
        <v>1.0653900709219859</v>
      </c>
      <c r="N756" s="6"/>
    </row>
    <row r="757" spans="1:14" x14ac:dyDescent="0.25">
      <c r="A757" s="4">
        <v>7060</v>
      </c>
      <c r="B757" s="5">
        <f t="shared" si="140"/>
        <v>7521.6</v>
      </c>
      <c r="C757" s="5">
        <f t="shared" si="141"/>
        <v>2247.2677964575623</v>
      </c>
      <c r="D757" s="34">
        <f t="shared" si="142"/>
        <v>2259.2677964575623</v>
      </c>
      <c r="E757" s="34">
        <f t="shared" si="143"/>
        <v>7097.6991118430778</v>
      </c>
      <c r="F757" s="39">
        <f t="shared" si="144"/>
        <v>3548.8495559215389</v>
      </c>
      <c r="G757" s="46">
        <f t="shared" si="139"/>
        <v>1.06</v>
      </c>
      <c r="H757" s="5">
        <f t="shared" si="145"/>
        <v>461.59999999999997</v>
      </c>
      <c r="I757" s="4"/>
      <c r="J757" s="4">
        <v>0.06</v>
      </c>
      <c r="K757" s="5">
        <f t="shared" si="146"/>
        <v>423.59999999999997</v>
      </c>
      <c r="L757" s="4">
        <v>38</v>
      </c>
      <c r="M757" s="7">
        <f t="shared" si="147"/>
        <v>1.0653824362606232</v>
      </c>
      <c r="N757" s="6"/>
    </row>
    <row r="758" spans="1:14" x14ac:dyDescent="0.25">
      <c r="A758" s="4">
        <v>7070</v>
      </c>
      <c r="B758" s="5">
        <f t="shared" si="140"/>
        <v>7532.2</v>
      </c>
      <c r="C758" s="5">
        <f t="shared" si="141"/>
        <v>2250.4508953193999</v>
      </c>
      <c r="D758" s="34">
        <f t="shared" si="142"/>
        <v>2262.4508953193999</v>
      </c>
      <c r="E758" s="34">
        <f t="shared" si="143"/>
        <v>7107.6991118430769</v>
      </c>
      <c r="F758" s="39">
        <f t="shared" si="144"/>
        <v>3553.8495559215385</v>
      </c>
      <c r="G758" s="46">
        <f t="shared" si="139"/>
        <v>1.06</v>
      </c>
      <c r="H758" s="5">
        <f t="shared" si="145"/>
        <v>462.2</v>
      </c>
      <c r="I758" s="4"/>
      <c r="J758" s="4">
        <v>0.06</v>
      </c>
      <c r="K758" s="5">
        <f t="shared" si="146"/>
        <v>424.2</v>
      </c>
      <c r="L758" s="4">
        <v>38</v>
      </c>
      <c r="M758" s="7">
        <f t="shared" si="147"/>
        <v>1.0653748231966054</v>
      </c>
      <c r="N758" s="6"/>
    </row>
    <row r="759" spans="1:14" x14ac:dyDescent="0.25">
      <c r="A759" s="4">
        <v>7080</v>
      </c>
      <c r="B759" s="5">
        <f t="shared" si="140"/>
        <v>7542.8</v>
      </c>
      <c r="C759" s="5">
        <f t="shared" si="141"/>
        <v>2253.633994181238</v>
      </c>
      <c r="D759" s="34">
        <f t="shared" si="142"/>
        <v>2265.633994181238</v>
      </c>
      <c r="E759" s="34">
        <f t="shared" si="143"/>
        <v>7117.6991118430769</v>
      </c>
      <c r="F759" s="39">
        <f t="shared" si="144"/>
        <v>3558.8495559215385</v>
      </c>
      <c r="G759" s="46">
        <f t="shared" si="139"/>
        <v>1.06</v>
      </c>
      <c r="H759" s="5">
        <f t="shared" si="145"/>
        <v>462.8</v>
      </c>
      <c r="I759" s="4"/>
      <c r="J759" s="4">
        <v>0.06</v>
      </c>
      <c r="K759" s="5">
        <f t="shared" si="146"/>
        <v>424.8</v>
      </c>
      <c r="L759" s="4">
        <v>38</v>
      </c>
      <c r="M759" s="7">
        <f t="shared" si="147"/>
        <v>1.0653672316384182</v>
      </c>
      <c r="N759" s="6"/>
    </row>
    <row r="760" spans="1:14" x14ac:dyDescent="0.25">
      <c r="A760" s="4">
        <v>7090</v>
      </c>
      <c r="B760" s="5">
        <f t="shared" si="140"/>
        <v>7553.4</v>
      </c>
      <c r="C760" s="5">
        <f t="shared" si="141"/>
        <v>2256.8170930430761</v>
      </c>
      <c r="D760" s="34">
        <f t="shared" si="142"/>
        <v>2268.8170930430761</v>
      </c>
      <c r="E760" s="34">
        <f t="shared" si="143"/>
        <v>7127.6991118430778</v>
      </c>
      <c r="F760" s="39">
        <f t="shared" si="144"/>
        <v>3563.8495559215389</v>
      </c>
      <c r="G760" s="46">
        <f t="shared" si="139"/>
        <v>1.06</v>
      </c>
      <c r="H760" s="5">
        <f t="shared" si="145"/>
        <v>463.4</v>
      </c>
      <c r="I760" s="4"/>
      <c r="J760" s="4">
        <v>0.06</v>
      </c>
      <c r="K760" s="5">
        <f t="shared" si="146"/>
        <v>425.4</v>
      </c>
      <c r="L760" s="4">
        <v>38</v>
      </c>
      <c r="M760" s="7">
        <f t="shared" si="147"/>
        <v>1.0653596614950633</v>
      </c>
      <c r="N760" s="6"/>
    </row>
    <row r="761" spans="1:14" x14ac:dyDescent="0.25">
      <c r="A761" s="4">
        <v>7100</v>
      </c>
      <c r="B761" s="5">
        <f t="shared" si="140"/>
        <v>7564</v>
      </c>
      <c r="C761" s="5">
        <f t="shared" si="141"/>
        <v>2260.0001919049137</v>
      </c>
      <c r="D761" s="34">
        <f t="shared" si="142"/>
        <v>2272.0001919049137</v>
      </c>
      <c r="E761" s="34">
        <f t="shared" si="143"/>
        <v>7137.6991118430769</v>
      </c>
      <c r="F761" s="39">
        <f t="shared" si="144"/>
        <v>3568.8495559215385</v>
      </c>
      <c r="G761" s="46">
        <f t="shared" si="139"/>
        <v>1.06</v>
      </c>
      <c r="H761" s="5">
        <f t="shared" si="145"/>
        <v>464</v>
      </c>
      <c r="I761" s="4"/>
      <c r="J761" s="4">
        <v>0.06</v>
      </c>
      <c r="K761" s="5">
        <f t="shared" si="146"/>
        <v>426</v>
      </c>
      <c r="L761" s="4">
        <v>38</v>
      </c>
      <c r="M761" s="7">
        <f t="shared" si="147"/>
        <v>1.0653521126760563</v>
      </c>
      <c r="N761" s="6"/>
    </row>
    <row r="762" spans="1:14" x14ac:dyDescent="0.25">
      <c r="A762" s="4">
        <v>7110</v>
      </c>
      <c r="B762" s="5">
        <f t="shared" si="140"/>
        <v>7574.6</v>
      </c>
      <c r="C762" s="5">
        <f t="shared" si="141"/>
        <v>2263.1832907667517</v>
      </c>
      <c r="D762" s="34">
        <f t="shared" si="142"/>
        <v>2275.1832907667517</v>
      </c>
      <c r="E762" s="34">
        <f t="shared" si="143"/>
        <v>7147.6991118430778</v>
      </c>
      <c r="F762" s="39">
        <f t="shared" si="144"/>
        <v>3573.8495559215389</v>
      </c>
      <c r="G762" s="46">
        <f t="shared" si="139"/>
        <v>1.06</v>
      </c>
      <c r="H762" s="5">
        <f t="shared" si="145"/>
        <v>464.59999999999997</v>
      </c>
      <c r="I762" s="4"/>
      <c r="J762" s="4">
        <v>0.06</v>
      </c>
      <c r="K762" s="5">
        <f t="shared" si="146"/>
        <v>426.59999999999997</v>
      </c>
      <c r="L762" s="4">
        <v>38</v>
      </c>
      <c r="M762" s="7">
        <f t="shared" si="147"/>
        <v>1.0653445850914205</v>
      </c>
      <c r="N762" s="6"/>
    </row>
    <row r="763" spans="1:14" x14ac:dyDescent="0.25">
      <c r="A763" s="4">
        <v>7120</v>
      </c>
      <c r="B763" s="5">
        <f t="shared" si="140"/>
        <v>7585.2</v>
      </c>
      <c r="C763" s="5">
        <f t="shared" si="141"/>
        <v>2266.3663896285898</v>
      </c>
      <c r="D763" s="34">
        <f t="shared" si="142"/>
        <v>2278.3663896285898</v>
      </c>
      <c r="E763" s="34">
        <f t="shared" si="143"/>
        <v>7157.6991118430778</v>
      </c>
      <c r="F763" s="39">
        <f t="shared" si="144"/>
        <v>3578.8495559215389</v>
      </c>
      <c r="G763" s="46">
        <f t="shared" si="139"/>
        <v>1.06</v>
      </c>
      <c r="H763" s="5">
        <f t="shared" si="145"/>
        <v>465.2</v>
      </c>
      <c r="I763" s="4"/>
      <c r="J763" s="4">
        <v>0.06</v>
      </c>
      <c r="K763" s="5">
        <f t="shared" si="146"/>
        <v>427.2</v>
      </c>
      <c r="L763" s="4">
        <v>38</v>
      </c>
      <c r="M763" s="7">
        <f t="shared" si="147"/>
        <v>1.0653370786516854</v>
      </c>
      <c r="N763" s="6"/>
    </row>
    <row r="764" spans="1:14" x14ac:dyDescent="0.25">
      <c r="A764" s="4">
        <v>7130</v>
      </c>
      <c r="B764" s="5">
        <f t="shared" si="140"/>
        <v>7595.8</v>
      </c>
      <c r="C764" s="5">
        <f t="shared" si="141"/>
        <v>2269.5494884904274</v>
      </c>
      <c r="D764" s="34">
        <f t="shared" si="142"/>
        <v>2281.5494884904274</v>
      </c>
      <c r="E764" s="34">
        <f t="shared" si="143"/>
        <v>7167.6991118430769</v>
      </c>
      <c r="F764" s="39">
        <f t="shared" si="144"/>
        <v>3583.8495559215385</v>
      </c>
      <c r="G764" s="46">
        <f t="shared" si="139"/>
        <v>1.06</v>
      </c>
      <c r="H764" s="5">
        <f t="shared" si="145"/>
        <v>465.8</v>
      </c>
      <c r="I764" s="4"/>
      <c r="J764" s="4">
        <v>0.06</v>
      </c>
      <c r="K764" s="5">
        <f t="shared" si="146"/>
        <v>427.8</v>
      </c>
      <c r="L764" s="4">
        <v>38</v>
      </c>
      <c r="M764" s="7">
        <f t="shared" si="147"/>
        <v>1.0653295932678821</v>
      </c>
      <c r="N764" s="6"/>
    </row>
    <row r="765" spans="1:14" x14ac:dyDescent="0.25">
      <c r="A765" s="4">
        <v>7140</v>
      </c>
      <c r="B765" s="5">
        <f t="shared" si="140"/>
        <v>7606.4</v>
      </c>
      <c r="C765" s="5">
        <f t="shared" si="141"/>
        <v>2272.7325873522655</v>
      </c>
      <c r="D765" s="34">
        <f t="shared" si="142"/>
        <v>2284.7325873522655</v>
      </c>
      <c r="E765" s="34">
        <f t="shared" si="143"/>
        <v>7177.6991118430778</v>
      </c>
      <c r="F765" s="39">
        <f t="shared" si="144"/>
        <v>3588.8495559215389</v>
      </c>
      <c r="G765" s="46">
        <f t="shared" si="139"/>
        <v>1.06</v>
      </c>
      <c r="H765" s="5">
        <f t="shared" si="145"/>
        <v>466.4</v>
      </c>
      <c r="I765" s="4"/>
      <c r="J765" s="4">
        <v>0.06</v>
      </c>
      <c r="K765" s="5">
        <f t="shared" si="146"/>
        <v>428.4</v>
      </c>
      <c r="L765" s="4">
        <v>38</v>
      </c>
      <c r="M765" s="7">
        <f t="shared" si="147"/>
        <v>1.0653221288515407</v>
      </c>
      <c r="N765" s="6"/>
    </row>
    <row r="766" spans="1:14" x14ac:dyDescent="0.25">
      <c r="A766" s="4">
        <v>7150</v>
      </c>
      <c r="B766" s="5">
        <f t="shared" si="140"/>
        <v>7617</v>
      </c>
      <c r="C766" s="5">
        <f t="shared" si="141"/>
        <v>2275.9156862141035</v>
      </c>
      <c r="D766" s="34">
        <f t="shared" si="142"/>
        <v>2287.9156862141035</v>
      </c>
      <c r="E766" s="34">
        <f t="shared" si="143"/>
        <v>7187.6991118430778</v>
      </c>
      <c r="F766" s="39">
        <f t="shared" si="144"/>
        <v>3593.8495559215389</v>
      </c>
      <c r="G766" s="46">
        <f t="shared" si="139"/>
        <v>1.06</v>
      </c>
      <c r="H766" s="5">
        <f t="shared" si="145"/>
        <v>467</v>
      </c>
      <c r="I766" s="4"/>
      <c r="J766" s="4">
        <v>0.06</v>
      </c>
      <c r="K766" s="5">
        <f t="shared" si="146"/>
        <v>429</v>
      </c>
      <c r="L766" s="4">
        <v>38</v>
      </c>
      <c r="M766" s="7">
        <f t="shared" si="147"/>
        <v>1.0653146853146853</v>
      </c>
      <c r="N766" s="6"/>
    </row>
    <row r="767" spans="1:14" x14ac:dyDescent="0.25">
      <c r="A767" s="4">
        <v>7160</v>
      </c>
      <c r="B767" s="5">
        <f t="shared" si="140"/>
        <v>7627.6</v>
      </c>
      <c r="C767" s="5">
        <f t="shared" si="141"/>
        <v>2279.0987850759411</v>
      </c>
      <c r="D767" s="34">
        <f t="shared" si="142"/>
        <v>2291.0987850759411</v>
      </c>
      <c r="E767" s="34">
        <f t="shared" si="143"/>
        <v>7197.6991118430769</v>
      </c>
      <c r="F767" s="39">
        <f t="shared" si="144"/>
        <v>3598.8495559215385</v>
      </c>
      <c r="G767" s="46">
        <f t="shared" si="139"/>
        <v>1.06</v>
      </c>
      <c r="H767" s="5">
        <f t="shared" si="145"/>
        <v>467.59999999999997</v>
      </c>
      <c r="I767" s="4"/>
      <c r="J767" s="4">
        <v>0.06</v>
      </c>
      <c r="K767" s="5">
        <f t="shared" si="146"/>
        <v>429.59999999999997</v>
      </c>
      <c r="L767" s="4">
        <v>38</v>
      </c>
      <c r="M767" s="7">
        <f t="shared" si="147"/>
        <v>1.0653072625698325</v>
      </c>
      <c r="N767" s="6"/>
    </row>
    <row r="768" spans="1:14" x14ac:dyDescent="0.25">
      <c r="A768" s="4">
        <v>7170</v>
      </c>
      <c r="B768" s="5">
        <f t="shared" si="140"/>
        <v>7638.2</v>
      </c>
      <c r="C768" s="5">
        <f t="shared" si="141"/>
        <v>2282.2818839377792</v>
      </c>
      <c r="D768" s="34">
        <f t="shared" si="142"/>
        <v>2294.2818839377792</v>
      </c>
      <c r="E768" s="34">
        <f t="shared" si="143"/>
        <v>7207.6991118430778</v>
      </c>
      <c r="F768" s="39">
        <f t="shared" si="144"/>
        <v>3603.8495559215389</v>
      </c>
      <c r="G768" s="46">
        <f t="shared" si="139"/>
        <v>1.06</v>
      </c>
      <c r="H768" s="5">
        <f t="shared" si="145"/>
        <v>468.2</v>
      </c>
      <c r="I768" s="4"/>
      <c r="J768" s="4">
        <v>0.06</v>
      </c>
      <c r="K768" s="5">
        <f t="shared" si="146"/>
        <v>430.2</v>
      </c>
      <c r="L768" s="4">
        <v>38</v>
      </c>
      <c r="M768" s="7">
        <f t="shared" si="147"/>
        <v>1.0652998605299859</v>
      </c>
      <c r="N768" s="6"/>
    </row>
    <row r="769" spans="1:14" x14ac:dyDescent="0.25">
      <c r="A769" s="4">
        <v>7180</v>
      </c>
      <c r="B769" s="5">
        <f t="shared" si="140"/>
        <v>7648.8</v>
      </c>
      <c r="C769" s="5">
        <f t="shared" si="141"/>
        <v>2285.4649827996172</v>
      </c>
      <c r="D769" s="34">
        <f t="shared" si="142"/>
        <v>2297.4649827996172</v>
      </c>
      <c r="E769" s="34">
        <f t="shared" si="143"/>
        <v>7217.6991118430778</v>
      </c>
      <c r="F769" s="39">
        <f t="shared" si="144"/>
        <v>3608.8495559215389</v>
      </c>
      <c r="G769" s="46">
        <f t="shared" si="139"/>
        <v>1.06</v>
      </c>
      <c r="H769" s="5">
        <f t="shared" si="145"/>
        <v>468.8</v>
      </c>
      <c r="I769" s="4"/>
      <c r="J769" s="4">
        <v>0.06</v>
      </c>
      <c r="K769" s="5">
        <f t="shared" si="146"/>
        <v>430.8</v>
      </c>
      <c r="L769" s="4">
        <v>38</v>
      </c>
      <c r="M769" s="7">
        <f t="shared" si="147"/>
        <v>1.0652924791086351</v>
      </c>
      <c r="N769" s="6"/>
    </row>
    <row r="770" spans="1:14" x14ac:dyDescent="0.25">
      <c r="A770" s="4">
        <v>7190</v>
      </c>
      <c r="B770" s="5">
        <f t="shared" si="140"/>
        <v>7659.4</v>
      </c>
      <c r="C770" s="5">
        <f t="shared" si="141"/>
        <v>2288.6480816614549</v>
      </c>
      <c r="D770" s="34">
        <f t="shared" si="142"/>
        <v>2300.6480816614549</v>
      </c>
      <c r="E770" s="34">
        <f t="shared" si="143"/>
        <v>7227.6991118430769</v>
      </c>
      <c r="F770" s="39">
        <f t="shared" si="144"/>
        <v>3613.8495559215385</v>
      </c>
      <c r="G770" s="46">
        <f t="shared" si="139"/>
        <v>1.06</v>
      </c>
      <c r="H770" s="5">
        <f t="shared" si="145"/>
        <v>469.4</v>
      </c>
      <c r="I770" s="4"/>
      <c r="J770" s="4">
        <v>0.06</v>
      </c>
      <c r="K770" s="5">
        <f t="shared" si="146"/>
        <v>431.4</v>
      </c>
      <c r="L770" s="4">
        <v>38</v>
      </c>
      <c r="M770" s="7">
        <f t="shared" si="147"/>
        <v>1.0652851182197496</v>
      </c>
      <c r="N770" s="6"/>
    </row>
    <row r="771" spans="1:14" x14ac:dyDescent="0.25">
      <c r="A771" s="4">
        <v>7200</v>
      </c>
      <c r="B771" s="5">
        <f t="shared" si="140"/>
        <v>7670</v>
      </c>
      <c r="C771" s="5">
        <f t="shared" si="141"/>
        <v>2291.8311805232929</v>
      </c>
      <c r="D771" s="34">
        <f t="shared" si="142"/>
        <v>2303.8311805232929</v>
      </c>
      <c r="E771" s="34">
        <f t="shared" si="143"/>
        <v>7237.6991118430778</v>
      </c>
      <c r="F771" s="39">
        <f t="shared" si="144"/>
        <v>3618.8495559215389</v>
      </c>
      <c r="G771" s="46">
        <f t="shared" si="139"/>
        <v>1.06</v>
      </c>
      <c r="H771" s="5">
        <f t="shared" si="145"/>
        <v>470</v>
      </c>
      <c r="I771" s="4"/>
      <c r="J771" s="4">
        <v>0.06</v>
      </c>
      <c r="K771" s="5">
        <f t="shared" si="146"/>
        <v>432</v>
      </c>
      <c r="L771" s="4">
        <v>38</v>
      </c>
      <c r="M771" s="7">
        <f t="shared" si="147"/>
        <v>1.0652777777777778</v>
      </c>
      <c r="N771" s="6"/>
    </row>
    <row r="772" spans="1:14" x14ac:dyDescent="0.25">
      <c r="A772" s="4">
        <v>7210</v>
      </c>
      <c r="B772" s="5">
        <f t="shared" si="140"/>
        <v>7680.6</v>
      </c>
      <c r="C772" s="5">
        <f t="shared" si="141"/>
        <v>2295.014279385131</v>
      </c>
      <c r="D772" s="34">
        <f t="shared" si="142"/>
        <v>2307.014279385131</v>
      </c>
      <c r="E772" s="34">
        <f t="shared" si="143"/>
        <v>7247.6991118430778</v>
      </c>
      <c r="F772" s="39">
        <f t="shared" si="144"/>
        <v>3623.8495559215389</v>
      </c>
      <c r="G772" s="46">
        <f t="shared" si="139"/>
        <v>1.06</v>
      </c>
      <c r="H772" s="5">
        <f t="shared" si="145"/>
        <v>470.59999999999997</v>
      </c>
      <c r="I772" s="4"/>
      <c r="J772" s="4">
        <v>0.06</v>
      </c>
      <c r="K772" s="5">
        <f t="shared" si="146"/>
        <v>432.59999999999997</v>
      </c>
      <c r="L772" s="4">
        <v>38</v>
      </c>
      <c r="M772" s="7">
        <f t="shared" si="147"/>
        <v>1.0652704576976422</v>
      </c>
      <c r="N772" s="6"/>
    </row>
    <row r="773" spans="1:14" x14ac:dyDescent="0.25">
      <c r="A773" s="4">
        <v>7220</v>
      </c>
      <c r="B773" s="5">
        <f t="shared" si="140"/>
        <v>7691.2</v>
      </c>
      <c r="C773" s="5">
        <f t="shared" si="141"/>
        <v>2298.1973782469686</v>
      </c>
      <c r="D773" s="34">
        <f t="shared" si="142"/>
        <v>2310.1973782469686</v>
      </c>
      <c r="E773" s="34">
        <f t="shared" si="143"/>
        <v>7257.6991118430769</v>
      </c>
      <c r="F773" s="39">
        <f t="shared" si="144"/>
        <v>3628.8495559215385</v>
      </c>
      <c r="G773" s="46">
        <f t="shared" si="139"/>
        <v>1.06</v>
      </c>
      <c r="H773" s="5">
        <f t="shared" si="145"/>
        <v>471.2</v>
      </c>
      <c r="I773" s="4"/>
      <c r="J773" s="4">
        <v>0.06</v>
      </c>
      <c r="K773" s="5">
        <f t="shared" si="146"/>
        <v>433.2</v>
      </c>
      <c r="L773" s="4">
        <v>38</v>
      </c>
      <c r="M773" s="7">
        <f t="shared" si="147"/>
        <v>1.0652631578947369</v>
      </c>
      <c r="N773" s="6"/>
    </row>
    <row r="774" spans="1:14" x14ac:dyDescent="0.25">
      <c r="A774" s="4">
        <v>7230</v>
      </c>
      <c r="B774" s="5">
        <f t="shared" si="140"/>
        <v>7701.8</v>
      </c>
      <c r="C774" s="5">
        <f t="shared" si="141"/>
        <v>2301.3804771088066</v>
      </c>
      <c r="D774" s="34">
        <f t="shared" si="142"/>
        <v>2313.3804771088066</v>
      </c>
      <c r="E774" s="34">
        <f t="shared" si="143"/>
        <v>7267.6991118430778</v>
      </c>
      <c r="F774" s="39">
        <f t="shared" si="144"/>
        <v>3633.8495559215389</v>
      </c>
      <c r="G774" s="46">
        <f t="shared" ref="G774:G837" si="148">ROUNDUP(B774/E774,2)</f>
        <v>1.06</v>
      </c>
      <c r="H774" s="5">
        <f t="shared" si="145"/>
        <v>471.8</v>
      </c>
      <c r="I774" s="4"/>
      <c r="J774" s="4">
        <v>0.06</v>
      </c>
      <c r="K774" s="5">
        <f t="shared" si="146"/>
        <v>433.8</v>
      </c>
      <c r="L774" s="4">
        <v>38</v>
      </c>
      <c r="M774" s="7">
        <f t="shared" si="147"/>
        <v>1.065255878284924</v>
      </c>
      <c r="N774" s="6"/>
    </row>
    <row r="775" spans="1:14" x14ac:dyDescent="0.25">
      <c r="A775" s="4">
        <v>7240</v>
      </c>
      <c r="B775" s="5">
        <f t="shared" si="140"/>
        <v>7712.4</v>
      </c>
      <c r="C775" s="5">
        <f t="shared" si="141"/>
        <v>2304.5635759706447</v>
      </c>
      <c r="D775" s="34">
        <f t="shared" si="142"/>
        <v>2316.5635759706447</v>
      </c>
      <c r="E775" s="34">
        <f t="shared" si="143"/>
        <v>7277.6991118430778</v>
      </c>
      <c r="F775" s="39">
        <f t="shared" si="144"/>
        <v>3638.8495559215389</v>
      </c>
      <c r="G775" s="46">
        <f t="shared" si="148"/>
        <v>1.06</v>
      </c>
      <c r="H775" s="5">
        <f t="shared" si="145"/>
        <v>472.4</v>
      </c>
      <c r="I775" s="4"/>
      <c r="J775" s="4">
        <v>0.06</v>
      </c>
      <c r="K775" s="5">
        <f t="shared" si="146"/>
        <v>434.4</v>
      </c>
      <c r="L775" s="4">
        <v>38</v>
      </c>
      <c r="M775" s="7">
        <f t="shared" si="147"/>
        <v>1.0652486187845303</v>
      </c>
      <c r="N775" s="6"/>
    </row>
    <row r="776" spans="1:14" x14ac:dyDescent="0.25">
      <c r="A776" s="4">
        <v>7250</v>
      </c>
      <c r="B776" s="5">
        <f t="shared" si="140"/>
        <v>7723</v>
      </c>
      <c r="C776" s="5">
        <f t="shared" si="141"/>
        <v>2307.7466748324823</v>
      </c>
      <c r="D776" s="34">
        <f t="shared" si="142"/>
        <v>2319.7466748324823</v>
      </c>
      <c r="E776" s="34">
        <f t="shared" si="143"/>
        <v>7287.6991118430769</v>
      </c>
      <c r="F776" s="39">
        <f t="shared" si="144"/>
        <v>3643.8495559215385</v>
      </c>
      <c r="G776" s="46">
        <f t="shared" si="148"/>
        <v>1.06</v>
      </c>
      <c r="H776" s="5">
        <f t="shared" si="145"/>
        <v>473</v>
      </c>
      <c r="I776" s="4"/>
      <c r="J776" s="4">
        <v>0.06</v>
      </c>
      <c r="K776" s="5">
        <f t="shared" si="146"/>
        <v>435</v>
      </c>
      <c r="L776" s="4">
        <v>38</v>
      </c>
      <c r="M776" s="7">
        <f t="shared" si="147"/>
        <v>1.0652413793103448</v>
      </c>
      <c r="N776" s="6"/>
    </row>
    <row r="777" spans="1:14" x14ac:dyDescent="0.25">
      <c r="A777" s="4">
        <v>7260</v>
      </c>
      <c r="B777" s="5">
        <f t="shared" si="140"/>
        <v>7733.6</v>
      </c>
      <c r="C777" s="5">
        <f t="shared" si="141"/>
        <v>2310.9297736943204</v>
      </c>
      <c r="D777" s="34">
        <f t="shared" si="142"/>
        <v>2322.9297736943204</v>
      </c>
      <c r="E777" s="34">
        <f t="shared" si="143"/>
        <v>7297.6991118430778</v>
      </c>
      <c r="F777" s="39">
        <f t="shared" si="144"/>
        <v>3648.8495559215389</v>
      </c>
      <c r="G777" s="46">
        <f t="shared" si="148"/>
        <v>1.06</v>
      </c>
      <c r="H777" s="5">
        <f t="shared" si="145"/>
        <v>473.59999999999997</v>
      </c>
      <c r="I777" s="4"/>
      <c r="J777" s="4">
        <v>0.06</v>
      </c>
      <c r="K777" s="5">
        <f t="shared" si="146"/>
        <v>435.59999999999997</v>
      </c>
      <c r="L777" s="4">
        <v>38</v>
      </c>
      <c r="M777" s="7">
        <f t="shared" si="147"/>
        <v>1.0652341597796144</v>
      </c>
      <c r="N777" s="6"/>
    </row>
    <row r="778" spans="1:14" x14ac:dyDescent="0.25">
      <c r="A778" s="4">
        <v>7270</v>
      </c>
      <c r="B778" s="5">
        <f t="shared" si="140"/>
        <v>7744.2</v>
      </c>
      <c r="C778" s="5">
        <f t="shared" si="141"/>
        <v>2314.1128725561584</v>
      </c>
      <c r="D778" s="34">
        <f t="shared" si="142"/>
        <v>2326.1128725561584</v>
      </c>
      <c r="E778" s="34">
        <f t="shared" si="143"/>
        <v>7307.6991118430778</v>
      </c>
      <c r="F778" s="39">
        <f t="shared" si="144"/>
        <v>3653.8495559215389</v>
      </c>
      <c r="G778" s="46">
        <f t="shared" si="148"/>
        <v>1.06</v>
      </c>
      <c r="H778" s="5">
        <f t="shared" si="145"/>
        <v>474.2</v>
      </c>
      <c r="I778" s="4"/>
      <c r="J778" s="4">
        <v>0.06</v>
      </c>
      <c r="K778" s="5">
        <f t="shared" si="146"/>
        <v>436.2</v>
      </c>
      <c r="L778" s="4">
        <v>38</v>
      </c>
      <c r="M778" s="7">
        <f t="shared" si="147"/>
        <v>1.0652269601100413</v>
      </c>
      <c r="N778" s="6"/>
    </row>
    <row r="779" spans="1:14" x14ac:dyDescent="0.25">
      <c r="A779" s="4">
        <v>7280</v>
      </c>
      <c r="B779" s="5">
        <f t="shared" si="140"/>
        <v>7754.8</v>
      </c>
      <c r="C779" s="5">
        <f t="shared" si="141"/>
        <v>2317.295971417996</v>
      </c>
      <c r="D779" s="34">
        <f t="shared" si="142"/>
        <v>2329.295971417996</v>
      </c>
      <c r="E779" s="34">
        <f t="shared" si="143"/>
        <v>7317.6991118430769</v>
      </c>
      <c r="F779" s="39">
        <f t="shared" si="144"/>
        <v>3658.8495559215385</v>
      </c>
      <c r="G779" s="46">
        <f t="shared" si="148"/>
        <v>1.06</v>
      </c>
      <c r="H779" s="5">
        <f t="shared" si="145"/>
        <v>474.8</v>
      </c>
      <c r="I779" s="4"/>
      <c r="J779" s="4">
        <v>0.06</v>
      </c>
      <c r="K779" s="5">
        <f t="shared" si="146"/>
        <v>436.8</v>
      </c>
      <c r="L779" s="4">
        <v>38</v>
      </c>
      <c r="M779" s="7">
        <f t="shared" si="147"/>
        <v>1.0652197802197803</v>
      </c>
      <c r="N779" s="6"/>
    </row>
    <row r="780" spans="1:14" x14ac:dyDescent="0.25">
      <c r="A780" s="4">
        <v>7290</v>
      </c>
      <c r="B780" s="5">
        <f t="shared" si="140"/>
        <v>7765.4</v>
      </c>
      <c r="C780" s="5">
        <f t="shared" si="141"/>
        <v>2320.4790702798341</v>
      </c>
      <c r="D780" s="34">
        <f t="shared" si="142"/>
        <v>2332.4790702798341</v>
      </c>
      <c r="E780" s="34">
        <f t="shared" si="143"/>
        <v>7327.6991118430778</v>
      </c>
      <c r="F780" s="39">
        <f t="shared" si="144"/>
        <v>3663.8495559215389</v>
      </c>
      <c r="G780" s="46">
        <f t="shared" si="148"/>
        <v>1.06</v>
      </c>
      <c r="H780" s="5">
        <f t="shared" si="145"/>
        <v>475.4</v>
      </c>
      <c r="I780" s="4"/>
      <c r="J780" s="4">
        <v>0.06</v>
      </c>
      <c r="K780" s="5">
        <f t="shared" si="146"/>
        <v>437.4</v>
      </c>
      <c r="L780" s="4">
        <v>38</v>
      </c>
      <c r="M780" s="7">
        <f t="shared" si="147"/>
        <v>1.0652126200274348</v>
      </c>
      <c r="N780" s="6"/>
    </row>
    <row r="781" spans="1:14" x14ac:dyDescent="0.25">
      <c r="A781" s="4">
        <v>7300</v>
      </c>
      <c r="B781" s="5">
        <f t="shared" si="140"/>
        <v>7776</v>
      </c>
      <c r="C781" s="5">
        <f t="shared" si="141"/>
        <v>2323.6621691416722</v>
      </c>
      <c r="D781" s="34">
        <f t="shared" si="142"/>
        <v>2335.6621691416722</v>
      </c>
      <c r="E781" s="34">
        <f t="shared" si="143"/>
        <v>7337.6991118430778</v>
      </c>
      <c r="F781" s="39">
        <f t="shared" si="144"/>
        <v>3668.8495559215389</v>
      </c>
      <c r="G781" s="46">
        <f t="shared" si="148"/>
        <v>1.06</v>
      </c>
      <c r="H781" s="5">
        <f t="shared" si="145"/>
        <v>476</v>
      </c>
      <c r="I781" s="4"/>
      <c r="J781" s="4">
        <v>0.06</v>
      </c>
      <c r="K781" s="5">
        <f t="shared" si="146"/>
        <v>438</v>
      </c>
      <c r="L781" s="4">
        <v>38</v>
      </c>
      <c r="M781" s="7">
        <f t="shared" si="147"/>
        <v>1.0652054794520549</v>
      </c>
      <c r="N781" s="6"/>
    </row>
    <row r="782" spans="1:14" x14ac:dyDescent="0.25">
      <c r="A782" s="4">
        <v>7310</v>
      </c>
      <c r="B782" s="5">
        <f t="shared" si="140"/>
        <v>7786.6</v>
      </c>
      <c r="C782" s="5">
        <f t="shared" si="141"/>
        <v>2326.8452680035098</v>
      </c>
      <c r="D782" s="34">
        <f t="shared" si="142"/>
        <v>2338.8452680035098</v>
      </c>
      <c r="E782" s="34">
        <f t="shared" si="143"/>
        <v>7347.6991118430769</v>
      </c>
      <c r="F782" s="39">
        <f t="shared" si="144"/>
        <v>3673.8495559215385</v>
      </c>
      <c r="G782" s="46">
        <f t="shared" si="148"/>
        <v>1.06</v>
      </c>
      <c r="H782" s="5">
        <f t="shared" si="145"/>
        <v>476.59999999999997</v>
      </c>
      <c r="I782" s="4"/>
      <c r="J782" s="4">
        <v>0.06</v>
      </c>
      <c r="K782" s="5">
        <f t="shared" si="146"/>
        <v>438.59999999999997</v>
      </c>
      <c r="L782" s="4">
        <v>38</v>
      </c>
      <c r="M782" s="7">
        <f t="shared" si="147"/>
        <v>1.0651983584131328</v>
      </c>
      <c r="N782" s="6"/>
    </row>
    <row r="783" spans="1:14" x14ac:dyDescent="0.25">
      <c r="A783" s="4">
        <v>7320</v>
      </c>
      <c r="B783" s="5">
        <f t="shared" si="140"/>
        <v>7797.2</v>
      </c>
      <c r="C783" s="5">
        <f t="shared" si="141"/>
        <v>2330.0283668653478</v>
      </c>
      <c r="D783" s="34">
        <f t="shared" si="142"/>
        <v>2342.0283668653478</v>
      </c>
      <c r="E783" s="34">
        <f t="shared" si="143"/>
        <v>7357.6991118430778</v>
      </c>
      <c r="F783" s="39">
        <f t="shared" si="144"/>
        <v>3678.8495559215389</v>
      </c>
      <c r="G783" s="46">
        <f t="shared" si="148"/>
        <v>1.06</v>
      </c>
      <c r="H783" s="5">
        <f t="shared" si="145"/>
        <v>477.2</v>
      </c>
      <c r="I783" s="4"/>
      <c r="J783" s="4">
        <v>0.06</v>
      </c>
      <c r="K783" s="5">
        <f t="shared" si="146"/>
        <v>439.2</v>
      </c>
      <c r="L783" s="4">
        <v>38</v>
      </c>
      <c r="M783" s="7">
        <f t="shared" si="147"/>
        <v>1.065191256830601</v>
      </c>
      <c r="N783" s="6"/>
    </row>
    <row r="784" spans="1:14" x14ac:dyDescent="0.25">
      <c r="A784" s="4">
        <v>7330</v>
      </c>
      <c r="B784" s="5">
        <f t="shared" si="140"/>
        <v>7807.8</v>
      </c>
      <c r="C784" s="5">
        <f t="shared" si="141"/>
        <v>2333.2114657271859</v>
      </c>
      <c r="D784" s="34">
        <f t="shared" si="142"/>
        <v>2345.2114657271859</v>
      </c>
      <c r="E784" s="34">
        <f t="shared" si="143"/>
        <v>7367.6991118430778</v>
      </c>
      <c r="F784" s="39">
        <f t="shared" si="144"/>
        <v>3683.8495559215389</v>
      </c>
      <c r="G784" s="46">
        <f t="shared" si="148"/>
        <v>1.06</v>
      </c>
      <c r="H784" s="5">
        <f t="shared" si="145"/>
        <v>477.8</v>
      </c>
      <c r="I784" s="4"/>
      <c r="J784" s="4">
        <v>0.06</v>
      </c>
      <c r="K784" s="5">
        <f t="shared" si="146"/>
        <v>439.8</v>
      </c>
      <c r="L784" s="4">
        <v>38</v>
      </c>
      <c r="M784" s="7">
        <f t="shared" si="147"/>
        <v>1.0651841746248294</v>
      </c>
      <c r="N784" s="6"/>
    </row>
    <row r="785" spans="1:14" x14ac:dyDescent="0.25">
      <c r="A785" s="4">
        <v>7340</v>
      </c>
      <c r="B785" s="5">
        <f t="shared" si="140"/>
        <v>7818.4</v>
      </c>
      <c r="C785" s="5">
        <f t="shared" si="141"/>
        <v>2336.3945645890235</v>
      </c>
      <c r="D785" s="34">
        <f t="shared" si="142"/>
        <v>2348.3945645890235</v>
      </c>
      <c r="E785" s="34">
        <f t="shared" si="143"/>
        <v>7377.6991118430769</v>
      </c>
      <c r="F785" s="39">
        <f t="shared" si="144"/>
        <v>3688.8495559215385</v>
      </c>
      <c r="G785" s="46">
        <f t="shared" si="148"/>
        <v>1.06</v>
      </c>
      <c r="H785" s="5">
        <f t="shared" si="145"/>
        <v>478.4</v>
      </c>
      <c r="I785" s="4"/>
      <c r="J785" s="4">
        <v>0.06</v>
      </c>
      <c r="K785" s="5">
        <f t="shared" si="146"/>
        <v>440.4</v>
      </c>
      <c r="L785" s="4">
        <v>38</v>
      </c>
      <c r="M785" s="7">
        <f t="shared" si="147"/>
        <v>1.0651771117166211</v>
      </c>
      <c r="N785" s="6"/>
    </row>
    <row r="786" spans="1:14" x14ac:dyDescent="0.25">
      <c r="A786" s="4">
        <v>7350</v>
      </c>
      <c r="B786" s="5">
        <f t="shared" si="140"/>
        <v>7829</v>
      </c>
      <c r="C786" s="5">
        <f t="shared" si="141"/>
        <v>2339.5776634508616</v>
      </c>
      <c r="D786" s="34">
        <f t="shared" si="142"/>
        <v>2351.5776634508616</v>
      </c>
      <c r="E786" s="34">
        <f t="shared" si="143"/>
        <v>7387.6991118430778</v>
      </c>
      <c r="F786" s="39">
        <f t="shared" si="144"/>
        <v>3693.8495559215389</v>
      </c>
      <c r="G786" s="46">
        <f t="shared" si="148"/>
        <v>1.06</v>
      </c>
      <c r="H786" s="5">
        <f t="shared" si="145"/>
        <v>479</v>
      </c>
      <c r="I786" s="4"/>
      <c r="J786" s="4">
        <v>0.06</v>
      </c>
      <c r="K786" s="5">
        <f t="shared" si="146"/>
        <v>441</v>
      </c>
      <c r="L786" s="4">
        <v>38</v>
      </c>
      <c r="M786" s="7">
        <f t="shared" si="147"/>
        <v>1.0651700680272109</v>
      </c>
      <c r="N786" s="6"/>
    </row>
    <row r="787" spans="1:14" x14ac:dyDescent="0.25">
      <c r="A787" s="4">
        <v>7360</v>
      </c>
      <c r="B787" s="5">
        <f t="shared" si="140"/>
        <v>7839.6</v>
      </c>
      <c r="C787" s="5">
        <f t="shared" si="141"/>
        <v>2342.7607623126996</v>
      </c>
      <c r="D787" s="34">
        <f t="shared" si="142"/>
        <v>2354.7607623126996</v>
      </c>
      <c r="E787" s="34">
        <f t="shared" si="143"/>
        <v>7397.6991118430778</v>
      </c>
      <c r="F787" s="39">
        <f t="shared" si="144"/>
        <v>3698.8495559215389</v>
      </c>
      <c r="G787" s="46">
        <f t="shared" si="148"/>
        <v>1.06</v>
      </c>
      <c r="H787" s="5">
        <f t="shared" si="145"/>
        <v>479.59999999999997</v>
      </c>
      <c r="I787" s="4"/>
      <c r="J787" s="4">
        <v>0.06</v>
      </c>
      <c r="K787" s="5">
        <f t="shared" si="146"/>
        <v>441.59999999999997</v>
      </c>
      <c r="L787" s="4">
        <v>38</v>
      </c>
      <c r="M787" s="7">
        <f t="shared" si="147"/>
        <v>1.0651630434782609</v>
      </c>
      <c r="N787" s="6"/>
    </row>
    <row r="788" spans="1:14" x14ac:dyDescent="0.25">
      <c r="A788" s="4">
        <v>7370</v>
      </c>
      <c r="B788" s="5">
        <f t="shared" si="140"/>
        <v>7850.2</v>
      </c>
      <c r="C788" s="5">
        <f t="shared" si="141"/>
        <v>2345.9438611745372</v>
      </c>
      <c r="D788" s="34">
        <f t="shared" si="142"/>
        <v>2357.9438611745372</v>
      </c>
      <c r="E788" s="34">
        <f t="shared" si="143"/>
        <v>7407.6991118430769</v>
      </c>
      <c r="F788" s="39">
        <f t="shared" si="144"/>
        <v>3703.8495559215385</v>
      </c>
      <c r="G788" s="46">
        <f t="shared" si="148"/>
        <v>1.06</v>
      </c>
      <c r="H788" s="5">
        <f t="shared" si="145"/>
        <v>480.2</v>
      </c>
      <c r="I788" s="4"/>
      <c r="J788" s="4">
        <v>0.06</v>
      </c>
      <c r="K788" s="5">
        <f t="shared" si="146"/>
        <v>442.2</v>
      </c>
      <c r="L788" s="4">
        <v>38</v>
      </c>
      <c r="M788" s="7">
        <f t="shared" si="147"/>
        <v>1.0651560379918588</v>
      </c>
      <c r="N788" s="6"/>
    </row>
    <row r="789" spans="1:14" x14ac:dyDescent="0.25">
      <c r="A789" s="4">
        <v>7380</v>
      </c>
      <c r="B789" s="5">
        <f t="shared" si="140"/>
        <v>7860.8</v>
      </c>
      <c r="C789" s="5">
        <f t="shared" si="141"/>
        <v>2349.1269600363753</v>
      </c>
      <c r="D789" s="34">
        <f t="shared" si="142"/>
        <v>2361.1269600363753</v>
      </c>
      <c r="E789" s="34">
        <f t="shared" si="143"/>
        <v>7417.6991118430778</v>
      </c>
      <c r="F789" s="39">
        <f t="shared" si="144"/>
        <v>3708.8495559215389</v>
      </c>
      <c r="G789" s="46">
        <f t="shared" si="148"/>
        <v>1.06</v>
      </c>
      <c r="H789" s="5">
        <f t="shared" si="145"/>
        <v>480.8</v>
      </c>
      <c r="I789" s="4"/>
      <c r="J789" s="4">
        <v>0.06</v>
      </c>
      <c r="K789" s="5">
        <f t="shared" si="146"/>
        <v>442.8</v>
      </c>
      <c r="L789" s="4">
        <v>38</v>
      </c>
      <c r="M789" s="7">
        <f t="shared" si="147"/>
        <v>1.0651490514905149</v>
      </c>
      <c r="N789" s="6"/>
    </row>
    <row r="790" spans="1:14" x14ac:dyDescent="0.25">
      <c r="A790" s="4">
        <v>7390</v>
      </c>
      <c r="B790" s="5">
        <f t="shared" si="140"/>
        <v>7871.4</v>
      </c>
      <c r="C790" s="5">
        <f t="shared" si="141"/>
        <v>2352.3100588982134</v>
      </c>
      <c r="D790" s="34">
        <f t="shared" si="142"/>
        <v>2364.3100588982134</v>
      </c>
      <c r="E790" s="34">
        <f t="shared" si="143"/>
        <v>7427.6991118430778</v>
      </c>
      <c r="F790" s="39">
        <f t="shared" si="144"/>
        <v>3713.8495559215389</v>
      </c>
      <c r="G790" s="46">
        <f t="shared" si="148"/>
        <v>1.06</v>
      </c>
      <c r="H790" s="5">
        <f t="shared" si="145"/>
        <v>481.4</v>
      </c>
      <c r="I790" s="4"/>
      <c r="J790" s="4">
        <v>0.06</v>
      </c>
      <c r="K790" s="5">
        <f t="shared" si="146"/>
        <v>443.4</v>
      </c>
      <c r="L790" s="4">
        <v>38</v>
      </c>
      <c r="M790" s="7">
        <f t="shared" si="147"/>
        <v>1.0651420838971584</v>
      </c>
      <c r="N790" s="6"/>
    </row>
    <row r="791" spans="1:14" x14ac:dyDescent="0.25">
      <c r="A791" s="4">
        <v>7400</v>
      </c>
      <c r="B791" s="5">
        <f t="shared" si="140"/>
        <v>7882</v>
      </c>
      <c r="C791" s="5">
        <f t="shared" si="141"/>
        <v>2355.493157760051</v>
      </c>
      <c r="D791" s="34">
        <f t="shared" si="142"/>
        <v>2367.493157760051</v>
      </c>
      <c r="E791" s="34">
        <f t="shared" si="143"/>
        <v>7437.6991118430769</v>
      </c>
      <c r="F791" s="39">
        <f t="shared" si="144"/>
        <v>3718.8495559215385</v>
      </c>
      <c r="G791" s="46">
        <f t="shared" si="148"/>
        <v>1.06</v>
      </c>
      <c r="H791" s="5">
        <f t="shared" si="145"/>
        <v>482</v>
      </c>
      <c r="I791" s="4"/>
      <c r="J791" s="4">
        <v>0.06</v>
      </c>
      <c r="K791" s="5">
        <f t="shared" si="146"/>
        <v>444</v>
      </c>
      <c r="L791" s="4">
        <v>38</v>
      </c>
      <c r="M791" s="7">
        <f t="shared" si="147"/>
        <v>1.065135135135135</v>
      </c>
      <c r="N791" s="6"/>
    </row>
    <row r="792" spans="1:14" x14ac:dyDescent="0.25">
      <c r="A792" s="4">
        <v>7410</v>
      </c>
      <c r="B792" s="5">
        <f t="shared" si="140"/>
        <v>7892.6</v>
      </c>
      <c r="C792" s="5">
        <f t="shared" si="141"/>
        <v>2358.676256621889</v>
      </c>
      <c r="D792" s="34">
        <f t="shared" si="142"/>
        <v>2370.676256621889</v>
      </c>
      <c r="E792" s="34">
        <f t="shared" si="143"/>
        <v>7447.6991118430778</v>
      </c>
      <c r="F792" s="39">
        <f t="shared" si="144"/>
        <v>3723.8495559215389</v>
      </c>
      <c r="G792" s="46">
        <f t="shared" si="148"/>
        <v>1.06</v>
      </c>
      <c r="H792" s="5">
        <f t="shared" si="145"/>
        <v>482.59999999999997</v>
      </c>
      <c r="I792" s="4"/>
      <c r="J792" s="4">
        <v>0.06</v>
      </c>
      <c r="K792" s="5">
        <f t="shared" si="146"/>
        <v>444.59999999999997</v>
      </c>
      <c r="L792" s="4">
        <v>38</v>
      </c>
      <c r="M792" s="7">
        <f t="shared" si="147"/>
        <v>1.0651282051282052</v>
      </c>
      <c r="N792" s="6"/>
    </row>
    <row r="793" spans="1:14" x14ac:dyDescent="0.25">
      <c r="A793" s="4">
        <v>7420</v>
      </c>
      <c r="B793" s="5">
        <f t="shared" si="140"/>
        <v>7903.2</v>
      </c>
      <c r="C793" s="5">
        <f t="shared" si="141"/>
        <v>2361.8593554837271</v>
      </c>
      <c r="D793" s="34">
        <f t="shared" si="142"/>
        <v>2373.8593554837271</v>
      </c>
      <c r="E793" s="34">
        <f t="shared" si="143"/>
        <v>7457.6991118430778</v>
      </c>
      <c r="F793" s="39">
        <f t="shared" si="144"/>
        <v>3728.8495559215389</v>
      </c>
      <c r="G793" s="46">
        <f t="shared" si="148"/>
        <v>1.06</v>
      </c>
      <c r="H793" s="5">
        <f t="shared" si="145"/>
        <v>483.2</v>
      </c>
      <c r="I793" s="4"/>
      <c r="J793" s="4">
        <v>0.06</v>
      </c>
      <c r="K793" s="5">
        <f t="shared" si="146"/>
        <v>445.2</v>
      </c>
      <c r="L793" s="4">
        <v>38</v>
      </c>
      <c r="M793" s="7">
        <f t="shared" si="147"/>
        <v>1.065121293800539</v>
      </c>
      <c r="N793" s="6"/>
    </row>
    <row r="794" spans="1:14" x14ac:dyDescent="0.25">
      <c r="A794" s="4">
        <v>7430</v>
      </c>
      <c r="B794" s="5">
        <f t="shared" si="140"/>
        <v>7913.8</v>
      </c>
      <c r="C794" s="5">
        <f t="shared" si="141"/>
        <v>2365.0424543455647</v>
      </c>
      <c r="D794" s="34">
        <f t="shared" si="142"/>
        <v>2377.0424543455647</v>
      </c>
      <c r="E794" s="34">
        <f t="shared" si="143"/>
        <v>7467.6991118430769</v>
      </c>
      <c r="F794" s="39">
        <f t="shared" si="144"/>
        <v>3733.8495559215385</v>
      </c>
      <c r="G794" s="46">
        <f t="shared" si="148"/>
        <v>1.06</v>
      </c>
      <c r="H794" s="5">
        <f t="shared" si="145"/>
        <v>483.8</v>
      </c>
      <c r="I794" s="4"/>
      <c r="J794" s="4">
        <v>0.06</v>
      </c>
      <c r="K794" s="5">
        <f t="shared" si="146"/>
        <v>445.8</v>
      </c>
      <c r="L794" s="4">
        <v>38</v>
      </c>
      <c r="M794" s="7">
        <f t="shared" si="147"/>
        <v>1.065114401076716</v>
      </c>
      <c r="N794" s="6"/>
    </row>
    <row r="795" spans="1:14" x14ac:dyDescent="0.25">
      <c r="A795" s="4">
        <v>7440</v>
      </c>
      <c r="B795" s="5">
        <f t="shared" si="140"/>
        <v>7924.4</v>
      </c>
      <c r="C795" s="5">
        <f t="shared" si="141"/>
        <v>2368.2255532074028</v>
      </c>
      <c r="D795" s="34">
        <f t="shared" si="142"/>
        <v>2380.2255532074028</v>
      </c>
      <c r="E795" s="34">
        <f t="shared" si="143"/>
        <v>7477.6991118430778</v>
      </c>
      <c r="F795" s="39">
        <f t="shared" si="144"/>
        <v>3738.8495559215389</v>
      </c>
      <c r="G795" s="46">
        <f t="shared" si="148"/>
        <v>1.06</v>
      </c>
      <c r="H795" s="5">
        <f t="shared" si="145"/>
        <v>484.4</v>
      </c>
      <c r="I795" s="4"/>
      <c r="J795" s="4">
        <v>0.06</v>
      </c>
      <c r="K795" s="5">
        <f t="shared" si="146"/>
        <v>446.4</v>
      </c>
      <c r="L795" s="4">
        <v>38</v>
      </c>
      <c r="M795" s="7">
        <f t="shared" si="147"/>
        <v>1.0651075268817203</v>
      </c>
      <c r="N795" s="6"/>
    </row>
    <row r="796" spans="1:14" x14ac:dyDescent="0.25">
      <c r="A796" s="4">
        <v>7450</v>
      </c>
      <c r="B796" s="5">
        <f t="shared" si="140"/>
        <v>7935</v>
      </c>
      <c r="C796" s="5">
        <f t="shared" si="141"/>
        <v>2371.4086520692408</v>
      </c>
      <c r="D796" s="34">
        <f t="shared" si="142"/>
        <v>2383.4086520692408</v>
      </c>
      <c r="E796" s="34">
        <f t="shared" si="143"/>
        <v>7487.6991118430778</v>
      </c>
      <c r="F796" s="39">
        <f t="shared" si="144"/>
        <v>3743.8495559215389</v>
      </c>
      <c r="G796" s="46">
        <f t="shared" si="148"/>
        <v>1.06</v>
      </c>
      <c r="H796" s="5">
        <f t="shared" si="145"/>
        <v>485</v>
      </c>
      <c r="I796" s="4"/>
      <c r="J796" s="4">
        <v>0.06</v>
      </c>
      <c r="K796" s="5">
        <f t="shared" si="146"/>
        <v>447</v>
      </c>
      <c r="L796" s="4">
        <v>38</v>
      </c>
      <c r="M796" s="7">
        <f t="shared" si="147"/>
        <v>1.0651006711409396</v>
      </c>
      <c r="N796" s="6"/>
    </row>
    <row r="797" spans="1:14" x14ac:dyDescent="0.25">
      <c r="A797" s="4">
        <v>7460</v>
      </c>
      <c r="B797" s="5">
        <f t="shared" si="140"/>
        <v>7945.6</v>
      </c>
      <c r="C797" s="5">
        <f t="shared" si="141"/>
        <v>2374.5917509310784</v>
      </c>
      <c r="D797" s="34">
        <f t="shared" si="142"/>
        <v>2386.5917509310784</v>
      </c>
      <c r="E797" s="34">
        <f t="shared" si="143"/>
        <v>7497.6991118430769</v>
      </c>
      <c r="F797" s="39">
        <f t="shared" si="144"/>
        <v>3748.8495559215385</v>
      </c>
      <c r="G797" s="46">
        <f t="shared" si="148"/>
        <v>1.06</v>
      </c>
      <c r="H797" s="5">
        <f t="shared" si="145"/>
        <v>485.59999999999997</v>
      </c>
      <c r="I797" s="4"/>
      <c r="J797" s="4">
        <v>0.06</v>
      </c>
      <c r="K797" s="5">
        <f t="shared" si="146"/>
        <v>447.59999999999997</v>
      </c>
      <c r="L797" s="4">
        <v>38</v>
      </c>
      <c r="M797" s="7">
        <f t="shared" si="147"/>
        <v>1.065093833780161</v>
      </c>
      <c r="N797" s="6"/>
    </row>
    <row r="798" spans="1:14" x14ac:dyDescent="0.25">
      <c r="A798" s="4">
        <v>7470</v>
      </c>
      <c r="B798" s="5">
        <f t="shared" si="140"/>
        <v>7956.2</v>
      </c>
      <c r="C798" s="5">
        <f t="shared" si="141"/>
        <v>2377.7748497929165</v>
      </c>
      <c r="D798" s="34">
        <f t="shared" si="142"/>
        <v>2389.7748497929165</v>
      </c>
      <c r="E798" s="34">
        <f t="shared" si="143"/>
        <v>7507.6991118430778</v>
      </c>
      <c r="F798" s="39">
        <f t="shared" si="144"/>
        <v>3753.8495559215389</v>
      </c>
      <c r="G798" s="46">
        <f t="shared" si="148"/>
        <v>1.06</v>
      </c>
      <c r="H798" s="5">
        <f t="shared" si="145"/>
        <v>486.2</v>
      </c>
      <c r="I798" s="4"/>
      <c r="J798" s="4">
        <v>0.06</v>
      </c>
      <c r="K798" s="5">
        <f t="shared" si="146"/>
        <v>448.2</v>
      </c>
      <c r="L798" s="4">
        <v>38</v>
      </c>
      <c r="M798" s="7">
        <f t="shared" si="147"/>
        <v>1.0650870147255689</v>
      </c>
      <c r="N798" s="6"/>
    </row>
    <row r="799" spans="1:14" x14ac:dyDescent="0.25">
      <c r="A799" s="4">
        <v>7480</v>
      </c>
      <c r="B799" s="5">
        <f t="shared" si="140"/>
        <v>7966.8</v>
      </c>
      <c r="C799" s="5">
        <f t="shared" si="141"/>
        <v>2380.9579486547541</v>
      </c>
      <c r="D799" s="34">
        <f t="shared" si="142"/>
        <v>2392.9579486547541</v>
      </c>
      <c r="E799" s="34">
        <f t="shared" si="143"/>
        <v>7517.6991118430769</v>
      </c>
      <c r="F799" s="39">
        <f t="shared" si="144"/>
        <v>3758.8495559215385</v>
      </c>
      <c r="G799" s="46">
        <f t="shared" si="148"/>
        <v>1.06</v>
      </c>
      <c r="H799" s="5">
        <f t="shared" si="145"/>
        <v>486.8</v>
      </c>
      <c r="I799" s="4"/>
      <c r="J799" s="4">
        <v>0.06</v>
      </c>
      <c r="K799" s="5">
        <f t="shared" si="146"/>
        <v>448.8</v>
      </c>
      <c r="L799" s="4">
        <v>38</v>
      </c>
      <c r="M799" s="7">
        <f t="shared" si="147"/>
        <v>1.0650802139037434</v>
      </c>
      <c r="N799" s="6"/>
    </row>
    <row r="800" spans="1:14" x14ac:dyDescent="0.25">
      <c r="A800" s="4">
        <v>7490</v>
      </c>
      <c r="B800" s="5">
        <f t="shared" si="140"/>
        <v>7977.4</v>
      </c>
      <c r="C800" s="5">
        <f t="shared" si="141"/>
        <v>2384.1410475165922</v>
      </c>
      <c r="D800" s="34">
        <f t="shared" si="142"/>
        <v>2396.1410475165922</v>
      </c>
      <c r="E800" s="34">
        <f t="shared" si="143"/>
        <v>7527.6991118430769</v>
      </c>
      <c r="F800" s="39">
        <f t="shared" si="144"/>
        <v>3763.8495559215385</v>
      </c>
      <c r="G800" s="46">
        <f t="shared" si="148"/>
        <v>1.06</v>
      </c>
      <c r="H800" s="5">
        <f t="shared" si="145"/>
        <v>487.4</v>
      </c>
      <c r="I800" s="4"/>
      <c r="J800" s="4">
        <v>0.06</v>
      </c>
      <c r="K800" s="5">
        <f t="shared" si="146"/>
        <v>449.4</v>
      </c>
      <c r="L800" s="4">
        <v>38</v>
      </c>
      <c r="M800" s="7">
        <f t="shared" si="147"/>
        <v>1.0650734312416554</v>
      </c>
      <c r="N800" s="6"/>
    </row>
    <row r="801" spans="1:14" x14ac:dyDescent="0.25">
      <c r="A801" s="4">
        <v>7500</v>
      </c>
      <c r="B801" s="5">
        <f t="shared" si="140"/>
        <v>7988</v>
      </c>
      <c r="C801" s="5">
        <f t="shared" si="141"/>
        <v>2387.3241463784302</v>
      </c>
      <c r="D801" s="34">
        <f t="shared" si="142"/>
        <v>2399.3241463784302</v>
      </c>
      <c r="E801" s="34">
        <f t="shared" si="143"/>
        <v>7537.6991118430778</v>
      </c>
      <c r="F801" s="39">
        <f t="shared" si="144"/>
        <v>3768.8495559215389</v>
      </c>
      <c r="G801" s="46">
        <f t="shared" si="148"/>
        <v>1.06</v>
      </c>
      <c r="H801" s="5">
        <f t="shared" si="145"/>
        <v>488</v>
      </c>
      <c r="I801" s="4"/>
      <c r="J801" s="4">
        <v>0.06</v>
      </c>
      <c r="K801" s="5">
        <f t="shared" si="146"/>
        <v>450</v>
      </c>
      <c r="L801" s="4">
        <v>38</v>
      </c>
      <c r="M801" s="7">
        <f t="shared" si="147"/>
        <v>1.0650666666666666</v>
      </c>
      <c r="N801" s="6"/>
    </row>
    <row r="802" spans="1:14" x14ac:dyDescent="0.25">
      <c r="A802" s="4">
        <v>7510</v>
      </c>
      <c r="B802" s="5">
        <f t="shared" si="140"/>
        <v>7998.6</v>
      </c>
      <c r="C802" s="5">
        <f t="shared" si="141"/>
        <v>2390.5072452402678</v>
      </c>
      <c r="D802" s="34">
        <f t="shared" si="142"/>
        <v>2402.5072452402678</v>
      </c>
      <c r="E802" s="34">
        <f t="shared" si="143"/>
        <v>7547.6991118430769</v>
      </c>
      <c r="F802" s="39">
        <f t="shared" si="144"/>
        <v>3773.8495559215385</v>
      </c>
      <c r="G802" s="46">
        <f t="shared" si="148"/>
        <v>1.06</v>
      </c>
      <c r="H802" s="5">
        <f t="shared" si="145"/>
        <v>488.59999999999997</v>
      </c>
      <c r="I802" s="4"/>
      <c r="J802" s="4">
        <v>0.06</v>
      </c>
      <c r="K802" s="5">
        <f t="shared" si="146"/>
        <v>450.59999999999997</v>
      </c>
      <c r="L802" s="4">
        <v>38</v>
      </c>
      <c r="M802" s="7">
        <f t="shared" si="147"/>
        <v>1.0650599201065247</v>
      </c>
      <c r="N802" s="6"/>
    </row>
    <row r="803" spans="1:14" x14ac:dyDescent="0.25">
      <c r="A803" s="4">
        <v>7520</v>
      </c>
      <c r="B803" s="5">
        <f t="shared" si="140"/>
        <v>8009.2</v>
      </c>
      <c r="C803" s="5">
        <f t="shared" si="141"/>
        <v>2393.6903441021059</v>
      </c>
      <c r="D803" s="34">
        <f t="shared" si="142"/>
        <v>2405.6903441021059</v>
      </c>
      <c r="E803" s="34">
        <f t="shared" si="143"/>
        <v>7557.6991118430769</v>
      </c>
      <c r="F803" s="39">
        <f t="shared" si="144"/>
        <v>3778.8495559215385</v>
      </c>
      <c r="G803" s="46">
        <f t="shared" si="148"/>
        <v>1.06</v>
      </c>
      <c r="H803" s="5">
        <f t="shared" si="145"/>
        <v>489.2</v>
      </c>
      <c r="I803" s="4"/>
      <c r="J803" s="4">
        <v>0.06</v>
      </c>
      <c r="K803" s="5">
        <f t="shared" si="146"/>
        <v>451.2</v>
      </c>
      <c r="L803" s="4">
        <v>38</v>
      </c>
      <c r="M803" s="7">
        <f t="shared" si="147"/>
        <v>1.0650531914893617</v>
      </c>
      <c r="N803" s="6"/>
    </row>
    <row r="804" spans="1:14" x14ac:dyDescent="0.25">
      <c r="A804" s="4">
        <v>7530</v>
      </c>
      <c r="B804" s="5">
        <f t="shared" si="140"/>
        <v>8019.8</v>
      </c>
      <c r="C804" s="5">
        <f t="shared" si="141"/>
        <v>2396.8734429639439</v>
      </c>
      <c r="D804" s="34">
        <f t="shared" si="142"/>
        <v>2408.8734429639439</v>
      </c>
      <c r="E804" s="34">
        <f t="shared" si="143"/>
        <v>7567.6991118430778</v>
      </c>
      <c r="F804" s="39">
        <f t="shared" si="144"/>
        <v>3783.8495559215389</v>
      </c>
      <c r="G804" s="46">
        <f t="shared" si="148"/>
        <v>1.06</v>
      </c>
      <c r="H804" s="5">
        <f t="shared" si="145"/>
        <v>489.8</v>
      </c>
      <c r="I804" s="4"/>
      <c r="J804" s="4">
        <v>0.06</v>
      </c>
      <c r="K804" s="5">
        <f t="shared" si="146"/>
        <v>451.8</v>
      </c>
      <c r="L804" s="4">
        <v>38</v>
      </c>
      <c r="M804" s="7">
        <f t="shared" si="147"/>
        <v>1.0650464807436919</v>
      </c>
      <c r="N804" s="6"/>
    </row>
    <row r="805" spans="1:14" x14ac:dyDescent="0.25">
      <c r="A805" s="4">
        <v>7540</v>
      </c>
      <c r="B805" s="5">
        <f t="shared" si="140"/>
        <v>8030.4</v>
      </c>
      <c r="C805" s="5">
        <f t="shared" si="141"/>
        <v>2400.0565418257816</v>
      </c>
      <c r="D805" s="34">
        <f t="shared" si="142"/>
        <v>2412.0565418257816</v>
      </c>
      <c r="E805" s="34">
        <f t="shared" si="143"/>
        <v>7577.6991118430769</v>
      </c>
      <c r="F805" s="39">
        <f t="shared" si="144"/>
        <v>3788.8495559215385</v>
      </c>
      <c r="G805" s="46">
        <f t="shared" si="148"/>
        <v>1.06</v>
      </c>
      <c r="H805" s="5">
        <f t="shared" si="145"/>
        <v>490.4</v>
      </c>
      <c r="I805" s="4"/>
      <c r="J805" s="4">
        <v>0.06</v>
      </c>
      <c r="K805" s="5">
        <f t="shared" si="146"/>
        <v>452.4</v>
      </c>
      <c r="L805" s="4">
        <v>38</v>
      </c>
      <c r="M805" s="7">
        <f t="shared" si="147"/>
        <v>1.0650397877984084</v>
      </c>
      <c r="N805" s="6"/>
    </row>
    <row r="806" spans="1:14" x14ac:dyDescent="0.25">
      <c r="A806" s="4">
        <v>7550</v>
      </c>
      <c r="B806" s="5">
        <f t="shared" si="140"/>
        <v>8041</v>
      </c>
      <c r="C806" s="5">
        <f t="shared" si="141"/>
        <v>2403.2396406876196</v>
      </c>
      <c r="D806" s="34">
        <f t="shared" si="142"/>
        <v>2415.2396406876196</v>
      </c>
      <c r="E806" s="34">
        <f t="shared" si="143"/>
        <v>7587.6991118430769</v>
      </c>
      <c r="F806" s="39">
        <f t="shared" si="144"/>
        <v>3793.8495559215385</v>
      </c>
      <c r="G806" s="46">
        <f t="shared" si="148"/>
        <v>1.06</v>
      </c>
      <c r="H806" s="5">
        <f t="shared" si="145"/>
        <v>491</v>
      </c>
      <c r="I806" s="4"/>
      <c r="J806" s="4">
        <v>0.06</v>
      </c>
      <c r="K806" s="5">
        <f t="shared" si="146"/>
        <v>453</v>
      </c>
      <c r="L806" s="4">
        <v>38</v>
      </c>
      <c r="M806" s="7">
        <f t="shared" si="147"/>
        <v>1.0650331125827814</v>
      </c>
      <c r="N806" s="6"/>
    </row>
    <row r="807" spans="1:14" x14ac:dyDescent="0.25">
      <c r="A807" s="4">
        <v>7560</v>
      </c>
      <c r="B807" s="5">
        <f t="shared" si="140"/>
        <v>8051.6</v>
      </c>
      <c r="C807" s="5">
        <f t="shared" si="141"/>
        <v>2406.4227395494577</v>
      </c>
      <c r="D807" s="34">
        <f t="shared" si="142"/>
        <v>2418.4227395494577</v>
      </c>
      <c r="E807" s="34">
        <f t="shared" si="143"/>
        <v>7597.6991118430778</v>
      </c>
      <c r="F807" s="39">
        <f t="shared" si="144"/>
        <v>3798.8495559215389</v>
      </c>
      <c r="G807" s="46">
        <f t="shared" si="148"/>
        <v>1.06</v>
      </c>
      <c r="H807" s="5">
        <f t="shared" si="145"/>
        <v>491.59999999999997</v>
      </c>
      <c r="I807" s="4"/>
      <c r="J807" s="4">
        <v>0.06</v>
      </c>
      <c r="K807" s="5">
        <f t="shared" si="146"/>
        <v>453.59999999999997</v>
      </c>
      <c r="L807" s="4">
        <v>38</v>
      </c>
      <c r="M807" s="7">
        <f t="shared" si="147"/>
        <v>1.065026455026455</v>
      </c>
      <c r="N807" s="6"/>
    </row>
    <row r="808" spans="1:14" x14ac:dyDescent="0.25">
      <c r="A808" s="4">
        <v>7570</v>
      </c>
      <c r="B808" s="5">
        <f t="shared" si="140"/>
        <v>8062.2</v>
      </c>
      <c r="C808" s="5">
        <f t="shared" si="141"/>
        <v>2409.6058384112953</v>
      </c>
      <c r="D808" s="34">
        <f t="shared" si="142"/>
        <v>2421.6058384112953</v>
      </c>
      <c r="E808" s="34">
        <f t="shared" si="143"/>
        <v>7607.6991118430769</v>
      </c>
      <c r="F808" s="39">
        <f t="shared" si="144"/>
        <v>3803.8495559215385</v>
      </c>
      <c r="G808" s="46">
        <f t="shared" si="148"/>
        <v>1.06</v>
      </c>
      <c r="H808" s="5">
        <f t="shared" si="145"/>
        <v>492.2</v>
      </c>
      <c r="I808" s="4"/>
      <c r="J808" s="4">
        <v>0.06</v>
      </c>
      <c r="K808" s="5">
        <f t="shared" si="146"/>
        <v>454.2</v>
      </c>
      <c r="L808" s="4">
        <v>38</v>
      </c>
      <c r="M808" s="7">
        <f t="shared" si="147"/>
        <v>1.0650198150594452</v>
      </c>
      <c r="N808" s="6"/>
    </row>
    <row r="809" spans="1:14" x14ac:dyDescent="0.25">
      <c r="A809" s="4">
        <v>7580</v>
      </c>
      <c r="B809" s="5">
        <f t="shared" si="140"/>
        <v>8072.8</v>
      </c>
      <c r="C809" s="5">
        <f t="shared" si="141"/>
        <v>2412.7889372731333</v>
      </c>
      <c r="D809" s="34">
        <f t="shared" si="142"/>
        <v>2424.7889372731333</v>
      </c>
      <c r="E809" s="34">
        <f t="shared" si="143"/>
        <v>7617.6991118430769</v>
      </c>
      <c r="F809" s="39">
        <f t="shared" si="144"/>
        <v>3808.8495559215385</v>
      </c>
      <c r="G809" s="46">
        <f t="shared" si="148"/>
        <v>1.06</v>
      </c>
      <c r="H809" s="5">
        <f t="shared" si="145"/>
        <v>492.8</v>
      </c>
      <c r="I809" s="4"/>
      <c r="J809" s="4">
        <v>0.06</v>
      </c>
      <c r="K809" s="5">
        <f t="shared" si="146"/>
        <v>454.8</v>
      </c>
      <c r="L809" s="4">
        <v>38</v>
      </c>
      <c r="M809" s="7">
        <f t="shared" si="147"/>
        <v>1.0650131926121371</v>
      </c>
      <c r="N809" s="6"/>
    </row>
    <row r="810" spans="1:14" x14ac:dyDescent="0.25">
      <c r="A810" s="4">
        <v>7590</v>
      </c>
      <c r="B810" s="5">
        <f t="shared" si="140"/>
        <v>8083.4</v>
      </c>
      <c r="C810" s="5">
        <f t="shared" si="141"/>
        <v>2415.9720361349714</v>
      </c>
      <c r="D810" s="34">
        <f t="shared" si="142"/>
        <v>2427.9720361349714</v>
      </c>
      <c r="E810" s="34">
        <f t="shared" si="143"/>
        <v>7627.6991118430778</v>
      </c>
      <c r="F810" s="39">
        <f t="shared" si="144"/>
        <v>3813.8495559215389</v>
      </c>
      <c r="G810" s="46">
        <f t="shared" si="148"/>
        <v>1.06</v>
      </c>
      <c r="H810" s="5">
        <f t="shared" si="145"/>
        <v>493.4</v>
      </c>
      <c r="I810" s="4"/>
      <c r="J810" s="4">
        <v>0.06</v>
      </c>
      <c r="K810" s="5">
        <f t="shared" si="146"/>
        <v>455.4</v>
      </c>
      <c r="L810" s="4">
        <v>38</v>
      </c>
      <c r="M810" s="7">
        <f t="shared" si="147"/>
        <v>1.0650065876152832</v>
      </c>
      <c r="N810" s="6"/>
    </row>
    <row r="811" spans="1:14" x14ac:dyDescent="0.25">
      <c r="A811" s="4">
        <v>7600</v>
      </c>
      <c r="B811" s="5">
        <f t="shared" si="140"/>
        <v>8094</v>
      </c>
      <c r="C811" s="5">
        <f t="shared" si="141"/>
        <v>2419.155134996809</v>
      </c>
      <c r="D811" s="34">
        <f t="shared" si="142"/>
        <v>2431.155134996809</v>
      </c>
      <c r="E811" s="34">
        <f t="shared" si="143"/>
        <v>7637.6991118430769</v>
      </c>
      <c r="F811" s="39">
        <f t="shared" si="144"/>
        <v>3818.8495559215385</v>
      </c>
      <c r="G811" s="46">
        <f t="shared" si="148"/>
        <v>1.06</v>
      </c>
      <c r="H811" s="5">
        <f t="shared" si="145"/>
        <v>494</v>
      </c>
      <c r="I811" s="4"/>
      <c r="J811" s="4">
        <v>0.06</v>
      </c>
      <c r="K811" s="5">
        <f t="shared" si="146"/>
        <v>456</v>
      </c>
      <c r="L811" s="4">
        <v>38</v>
      </c>
      <c r="M811" s="7">
        <f t="shared" si="147"/>
        <v>1.0649999999999999</v>
      </c>
      <c r="N811" s="6"/>
    </row>
    <row r="812" spans="1:14" x14ac:dyDescent="0.25">
      <c r="A812" s="4">
        <v>7610</v>
      </c>
      <c r="B812" s="5">
        <f t="shared" si="140"/>
        <v>8104.6</v>
      </c>
      <c r="C812" s="5">
        <f t="shared" si="141"/>
        <v>2422.3382338586471</v>
      </c>
      <c r="D812" s="34">
        <f t="shared" si="142"/>
        <v>2434.3382338586471</v>
      </c>
      <c r="E812" s="34">
        <f t="shared" si="143"/>
        <v>7647.6991118430778</v>
      </c>
      <c r="F812" s="39">
        <f t="shared" si="144"/>
        <v>3823.8495559215389</v>
      </c>
      <c r="G812" s="46">
        <f t="shared" si="148"/>
        <v>1.06</v>
      </c>
      <c r="H812" s="5">
        <f t="shared" si="145"/>
        <v>494.59999999999997</v>
      </c>
      <c r="I812" s="4"/>
      <c r="J812" s="4">
        <v>0.06</v>
      </c>
      <c r="K812" s="5">
        <f t="shared" si="146"/>
        <v>456.59999999999997</v>
      </c>
      <c r="L812" s="4">
        <v>38</v>
      </c>
      <c r="M812" s="7">
        <f t="shared" si="147"/>
        <v>1.0649934296977661</v>
      </c>
      <c r="N812" s="6"/>
    </row>
    <row r="813" spans="1:14" x14ac:dyDescent="0.25">
      <c r="A813" s="4">
        <v>7620</v>
      </c>
      <c r="B813" s="5">
        <f t="shared" si="140"/>
        <v>8115.2</v>
      </c>
      <c r="C813" s="5">
        <f t="shared" si="141"/>
        <v>2425.5213327204851</v>
      </c>
      <c r="D813" s="34">
        <f t="shared" si="142"/>
        <v>2437.5213327204851</v>
      </c>
      <c r="E813" s="34">
        <f t="shared" si="143"/>
        <v>7657.6991118430778</v>
      </c>
      <c r="F813" s="39">
        <f t="shared" si="144"/>
        <v>3828.8495559215389</v>
      </c>
      <c r="G813" s="46">
        <f t="shared" si="148"/>
        <v>1.06</v>
      </c>
      <c r="H813" s="5">
        <f t="shared" si="145"/>
        <v>495.2</v>
      </c>
      <c r="I813" s="4"/>
      <c r="J813" s="4">
        <v>0.06</v>
      </c>
      <c r="K813" s="5">
        <f t="shared" si="146"/>
        <v>457.2</v>
      </c>
      <c r="L813" s="4">
        <v>38</v>
      </c>
      <c r="M813" s="7">
        <f t="shared" si="147"/>
        <v>1.06498687664042</v>
      </c>
      <c r="N813" s="6"/>
    </row>
    <row r="814" spans="1:14" x14ac:dyDescent="0.25">
      <c r="A814" s="4">
        <v>7630</v>
      </c>
      <c r="B814" s="5">
        <f t="shared" ref="B814:B877" si="149">A814+K814+L814</f>
        <v>8125.8</v>
      </c>
      <c r="C814" s="5">
        <f t="shared" ref="C814:C877" si="150">A814/PI()</f>
        <v>2428.7044315823227</v>
      </c>
      <c r="D814" s="34">
        <f t="shared" ref="D814:D877" si="151">C814+12</f>
        <v>2440.7044315823227</v>
      </c>
      <c r="E814" s="34">
        <f t="shared" ref="E814:E877" si="152">D814*PI()</f>
        <v>7667.6991118430769</v>
      </c>
      <c r="F814" s="39">
        <f t="shared" ref="F814:F877" si="153">E814/2</f>
        <v>3833.8495559215385</v>
      </c>
      <c r="G814" s="46">
        <f t="shared" si="148"/>
        <v>1.06</v>
      </c>
      <c r="H814" s="5">
        <f t="shared" ref="H814:H877" si="154">K814+L814</f>
        <v>495.8</v>
      </c>
      <c r="I814" s="4"/>
      <c r="J814" s="4">
        <v>0.06</v>
      </c>
      <c r="K814" s="5">
        <f t="shared" ref="K814:K877" si="155">A814*J814</f>
        <v>457.8</v>
      </c>
      <c r="L814" s="4">
        <v>38</v>
      </c>
      <c r="M814" s="7">
        <f t="shared" ref="M814:M877" si="156">B814/A814</f>
        <v>1.0649803407601572</v>
      </c>
      <c r="N814" s="6"/>
    </row>
    <row r="815" spans="1:14" x14ac:dyDescent="0.25">
      <c r="A815" s="4">
        <v>7640</v>
      </c>
      <c r="B815" s="5">
        <f t="shared" si="149"/>
        <v>8136.4</v>
      </c>
      <c r="C815" s="5">
        <f t="shared" si="150"/>
        <v>2431.8875304441608</v>
      </c>
      <c r="D815" s="34">
        <f t="shared" si="151"/>
        <v>2443.8875304441608</v>
      </c>
      <c r="E815" s="34">
        <f t="shared" si="152"/>
        <v>7677.6991118430778</v>
      </c>
      <c r="F815" s="39">
        <f t="shared" si="153"/>
        <v>3838.8495559215389</v>
      </c>
      <c r="G815" s="46">
        <f t="shared" si="148"/>
        <v>1.06</v>
      </c>
      <c r="H815" s="5">
        <f t="shared" si="154"/>
        <v>496.4</v>
      </c>
      <c r="I815" s="4"/>
      <c r="J815" s="4">
        <v>0.06</v>
      </c>
      <c r="K815" s="5">
        <f t="shared" si="155"/>
        <v>458.4</v>
      </c>
      <c r="L815" s="4">
        <v>38</v>
      </c>
      <c r="M815" s="7">
        <f t="shared" si="156"/>
        <v>1.0649738219895288</v>
      </c>
      <c r="N815" s="6"/>
    </row>
    <row r="816" spans="1:14" x14ac:dyDescent="0.25">
      <c r="A816" s="4">
        <v>7650</v>
      </c>
      <c r="B816" s="5">
        <f t="shared" si="149"/>
        <v>8147</v>
      </c>
      <c r="C816" s="5">
        <f t="shared" si="150"/>
        <v>2435.0706293059989</v>
      </c>
      <c r="D816" s="34">
        <f t="shared" si="151"/>
        <v>2447.0706293059989</v>
      </c>
      <c r="E816" s="34">
        <f t="shared" si="152"/>
        <v>7687.6991118430778</v>
      </c>
      <c r="F816" s="39">
        <f t="shared" si="153"/>
        <v>3843.8495559215389</v>
      </c>
      <c r="G816" s="46">
        <f t="shared" si="148"/>
        <v>1.06</v>
      </c>
      <c r="H816" s="5">
        <f t="shared" si="154"/>
        <v>497</v>
      </c>
      <c r="I816" s="4"/>
      <c r="J816" s="4">
        <v>0.06</v>
      </c>
      <c r="K816" s="5">
        <f t="shared" si="155"/>
        <v>459</v>
      </c>
      <c r="L816" s="4">
        <v>38</v>
      </c>
      <c r="M816" s="7">
        <f t="shared" si="156"/>
        <v>1.0649673202614378</v>
      </c>
      <c r="N816" s="6"/>
    </row>
    <row r="817" spans="1:14" x14ac:dyDescent="0.25">
      <c r="A817" s="4">
        <v>7660</v>
      </c>
      <c r="B817" s="5">
        <f t="shared" si="149"/>
        <v>8157.6</v>
      </c>
      <c r="C817" s="5">
        <f t="shared" si="150"/>
        <v>2438.2537281678365</v>
      </c>
      <c r="D817" s="34">
        <f t="shared" si="151"/>
        <v>2450.2537281678365</v>
      </c>
      <c r="E817" s="34">
        <f t="shared" si="152"/>
        <v>7697.6991118430769</v>
      </c>
      <c r="F817" s="39">
        <f t="shared" si="153"/>
        <v>3848.8495559215385</v>
      </c>
      <c r="G817" s="46">
        <f t="shared" si="148"/>
        <v>1.06</v>
      </c>
      <c r="H817" s="5">
        <f t="shared" si="154"/>
        <v>497.59999999999997</v>
      </c>
      <c r="I817" s="4"/>
      <c r="J817" s="4">
        <v>0.06</v>
      </c>
      <c r="K817" s="5">
        <f t="shared" si="155"/>
        <v>459.59999999999997</v>
      </c>
      <c r="L817" s="4">
        <v>38</v>
      </c>
      <c r="M817" s="7">
        <f t="shared" si="156"/>
        <v>1.0649608355091384</v>
      </c>
      <c r="N817" s="6"/>
    </row>
    <row r="818" spans="1:14" x14ac:dyDescent="0.25">
      <c r="A818" s="4">
        <v>7670</v>
      </c>
      <c r="B818" s="5">
        <f t="shared" si="149"/>
        <v>8168.2</v>
      </c>
      <c r="C818" s="5">
        <f t="shared" si="150"/>
        <v>2441.4368270296745</v>
      </c>
      <c r="D818" s="34">
        <f t="shared" si="151"/>
        <v>2453.4368270296745</v>
      </c>
      <c r="E818" s="34">
        <f t="shared" si="152"/>
        <v>7707.6991118430778</v>
      </c>
      <c r="F818" s="39">
        <f t="shared" si="153"/>
        <v>3853.8495559215389</v>
      </c>
      <c r="G818" s="46">
        <f t="shared" si="148"/>
        <v>1.06</v>
      </c>
      <c r="H818" s="5">
        <f t="shared" si="154"/>
        <v>498.2</v>
      </c>
      <c r="I818" s="4"/>
      <c r="J818" s="4">
        <v>0.06</v>
      </c>
      <c r="K818" s="5">
        <f t="shared" si="155"/>
        <v>460.2</v>
      </c>
      <c r="L818" s="4">
        <v>38</v>
      </c>
      <c r="M818" s="7">
        <f t="shared" si="156"/>
        <v>1.0649543676662321</v>
      </c>
      <c r="N818" s="6"/>
    </row>
    <row r="819" spans="1:14" x14ac:dyDescent="0.25">
      <c r="A819" s="4">
        <v>7680</v>
      </c>
      <c r="B819" s="5">
        <f t="shared" si="149"/>
        <v>8178.8</v>
      </c>
      <c r="C819" s="5">
        <f t="shared" si="150"/>
        <v>2444.6199258915126</v>
      </c>
      <c r="D819" s="34">
        <f t="shared" si="151"/>
        <v>2456.6199258915126</v>
      </c>
      <c r="E819" s="34">
        <f t="shared" si="152"/>
        <v>7717.6991118430778</v>
      </c>
      <c r="F819" s="39">
        <f t="shared" si="153"/>
        <v>3858.8495559215389</v>
      </c>
      <c r="G819" s="46">
        <f t="shared" si="148"/>
        <v>1.06</v>
      </c>
      <c r="H819" s="5">
        <f t="shared" si="154"/>
        <v>498.79999999999995</v>
      </c>
      <c r="I819" s="4"/>
      <c r="J819" s="4">
        <v>0.06</v>
      </c>
      <c r="K819" s="5">
        <f t="shared" si="155"/>
        <v>460.79999999999995</v>
      </c>
      <c r="L819" s="4">
        <v>38</v>
      </c>
      <c r="M819" s="7">
        <f t="shared" si="156"/>
        <v>1.0649479166666667</v>
      </c>
      <c r="N819" s="6"/>
    </row>
    <row r="820" spans="1:14" x14ac:dyDescent="0.25">
      <c r="A820" s="4">
        <v>7690</v>
      </c>
      <c r="B820" s="5">
        <f t="shared" si="149"/>
        <v>8189.4</v>
      </c>
      <c r="C820" s="5">
        <f t="shared" si="150"/>
        <v>2447.8030247533502</v>
      </c>
      <c r="D820" s="34">
        <f t="shared" si="151"/>
        <v>2459.8030247533502</v>
      </c>
      <c r="E820" s="34">
        <f t="shared" si="152"/>
        <v>7727.6991118430769</v>
      </c>
      <c r="F820" s="39">
        <f t="shared" si="153"/>
        <v>3863.8495559215385</v>
      </c>
      <c r="G820" s="46">
        <f t="shared" si="148"/>
        <v>1.06</v>
      </c>
      <c r="H820" s="5">
        <f t="shared" si="154"/>
        <v>499.4</v>
      </c>
      <c r="I820" s="4"/>
      <c r="J820" s="4">
        <v>0.06</v>
      </c>
      <c r="K820" s="5">
        <f t="shared" si="155"/>
        <v>461.4</v>
      </c>
      <c r="L820" s="4">
        <v>38</v>
      </c>
      <c r="M820" s="7">
        <f t="shared" si="156"/>
        <v>1.0649414824447334</v>
      </c>
      <c r="N820" s="6"/>
    </row>
    <row r="821" spans="1:14" x14ac:dyDescent="0.25">
      <c r="A821" s="4">
        <v>7700</v>
      </c>
      <c r="B821" s="5">
        <f t="shared" si="149"/>
        <v>8200</v>
      </c>
      <c r="C821" s="5">
        <f t="shared" si="150"/>
        <v>2450.9861236151883</v>
      </c>
      <c r="D821" s="34">
        <f t="shared" si="151"/>
        <v>2462.9861236151883</v>
      </c>
      <c r="E821" s="34">
        <f t="shared" si="152"/>
        <v>7737.6991118430778</v>
      </c>
      <c r="F821" s="39">
        <f t="shared" si="153"/>
        <v>3868.8495559215389</v>
      </c>
      <c r="G821" s="46">
        <f t="shared" si="148"/>
        <v>1.06</v>
      </c>
      <c r="H821" s="5">
        <f t="shared" si="154"/>
        <v>500</v>
      </c>
      <c r="I821" s="4"/>
      <c r="J821" s="4">
        <v>0.06</v>
      </c>
      <c r="K821" s="5">
        <f t="shared" si="155"/>
        <v>462</v>
      </c>
      <c r="L821" s="4">
        <v>38</v>
      </c>
      <c r="M821" s="7">
        <f t="shared" si="156"/>
        <v>1.0649350649350648</v>
      </c>
      <c r="N821" s="6"/>
    </row>
    <row r="822" spans="1:14" x14ac:dyDescent="0.25">
      <c r="A822" s="4">
        <v>7710</v>
      </c>
      <c r="B822" s="5">
        <f t="shared" si="149"/>
        <v>8210.6</v>
      </c>
      <c r="C822" s="5">
        <f t="shared" si="150"/>
        <v>2454.1692224770263</v>
      </c>
      <c r="D822" s="34">
        <f t="shared" si="151"/>
        <v>2466.1692224770263</v>
      </c>
      <c r="E822" s="34">
        <f t="shared" si="152"/>
        <v>7747.6991118430778</v>
      </c>
      <c r="F822" s="39">
        <f t="shared" si="153"/>
        <v>3873.8495559215389</v>
      </c>
      <c r="G822" s="46">
        <f t="shared" si="148"/>
        <v>1.06</v>
      </c>
      <c r="H822" s="5">
        <f t="shared" si="154"/>
        <v>500.59999999999997</v>
      </c>
      <c r="I822" s="4"/>
      <c r="J822" s="4">
        <v>0.06</v>
      </c>
      <c r="K822" s="5">
        <f t="shared" si="155"/>
        <v>462.59999999999997</v>
      </c>
      <c r="L822" s="4">
        <v>38</v>
      </c>
      <c r="M822" s="7">
        <f t="shared" si="156"/>
        <v>1.064928664072633</v>
      </c>
      <c r="N822" s="6"/>
    </row>
    <row r="823" spans="1:14" x14ac:dyDescent="0.25">
      <c r="A823" s="4">
        <v>7720</v>
      </c>
      <c r="B823" s="5">
        <f t="shared" si="149"/>
        <v>8221.2000000000007</v>
      </c>
      <c r="C823" s="5">
        <f t="shared" si="150"/>
        <v>2457.3523213388639</v>
      </c>
      <c r="D823" s="34">
        <f t="shared" si="151"/>
        <v>2469.3523213388639</v>
      </c>
      <c r="E823" s="34">
        <f t="shared" si="152"/>
        <v>7757.6991118430769</v>
      </c>
      <c r="F823" s="39">
        <f t="shared" si="153"/>
        <v>3878.8495559215385</v>
      </c>
      <c r="G823" s="46">
        <f t="shared" si="148"/>
        <v>1.06</v>
      </c>
      <c r="H823" s="5">
        <f t="shared" si="154"/>
        <v>501.2</v>
      </c>
      <c r="I823" s="4"/>
      <c r="J823" s="4">
        <v>0.06</v>
      </c>
      <c r="K823" s="5">
        <f t="shared" si="155"/>
        <v>463.2</v>
      </c>
      <c r="L823" s="4">
        <v>38</v>
      </c>
      <c r="M823" s="7">
        <f t="shared" si="156"/>
        <v>1.0649222797927462</v>
      </c>
      <c r="N823" s="6"/>
    </row>
    <row r="824" spans="1:14" x14ac:dyDescent="0.25">
      <c r="A824" s="4">
        <v>7730</v>
      </c>
      <c r="B824" s="5">
        <f t="shared" si="149"/>
        <v>8231.7999999999993</v>
      </c>
      <c r="C824" s="5">
        <f t="shared" si="150"/>
        <v>2460.535420200702</v>
      </c>
      <c r="D824" s="34">
        <f t="shared" si="151"/>
        <v>2472.535420200702</v>
      </c>
      <c r="E824" s="34">
        <f t="shared" si="152"/>
        <v>7767.6991118430778</v>
      </c>
      <c r="F824" s="39">
        <f t="shared" si="153"/>
        <v>3883.8495559215389</v>
      </c>
      <c r="G824" s="46">
        <f t="shared" si="148"/>
        <v>1.06</v>
      </c>
      <c r="H824" s="5">
        <f t="shared" si="154"/>
        <v>501.79999999999995</v>
      </c>
      <c r="I824" s="4"/>
      <c r="J824" s="4">
        <v>0.06</v>
      </c>
      <c r="K824" s="5">
        <f t="shared" si="155"/>
        <v>463.79999999999995</v>
      </c>
      <c r="L824" s="4">
        <v>38</v>
      </c>
      <c r="M824" s="7">
        <f t="shared" si="156"/>
        <v>1.0649159120310479</v>
      </c>
      <c r="N824" s="6"/>
    </row>
    <row r="825" spans="1:14" x14ac:dyDescent="0.25">
      <c r="A825" s="4">
        <v>7740</v>
      </c>
      <c r="B825" s="5">
        <f t="shared" si="149"/>
        <v>8242.4</v>
      </c>
      <c r="C825" s="5">
        <f t="shared" si="150"/>
        <v>2463.7185190625401</v>
      </c>
      <c r="D825" s="34">
        <f t="shared" si="151"/>
        <v>2475.7185190625401</v>
      </c>
      <c r="E825" s="34">
        <f t="shared" si="152"/>
        <v>7777.6991118430778</v>
      </c>
      <c r="F825" s="39">
        <f t="shared" si="153"/>
        <v>3888.8495559215389</v>
      </c>
      <c r="G825" s="46">
        <f t="shared" si="148"/>
        <v>1.06</v>
      </c>
      <c r="H825" s="5">
        <f t="shared" si="154"/>
        <v>502.4</v>
      </c>
      <c r="I825" s="4"/>
      <c r="J825" s="4">
        <v>0.06</v>
      </c>
      <c r="K825" s="5">
        <f t="shared" si="155"/>
        <v>464.4</v>
      </c>
      <c r="L825" s="4">
        <v>38</v>
      </c>
      <c r="M825" s="7">
        <f t="shared" si="156"/>
        <v>1.0649095607235142</v>
      </c>
      <c r="N825" s="6"/>
    </row>
    <row r="826" spans="1:14" x14ac:dyDescent="0.25">
      <c r="A826" s="4">
        <v>7750</v>
      </c>
      <c r="B826" s="5">
        <f t="shared" si="149"/>
        <v>8253</v>
      </c>
      <c r="C826" s="5">
        <f t="shared" si="150"/>
        <v>2466.9016179243777</v>
      </c>
      <c r="D826" s="34">
        <f t="shared" si="151"/>
        <v>2478.9016179243777</v>
      </c>
      <c r="E826" s="34">
        <f t="shared" si="152"/>
        <v>7787.6991118430769</v>
      </c>
      <c r="F826" s="39">
        <f t="shared" si="153"/>
        <v>3893.8495559215385</v>
      </c>
      <c r="G826" s="46">
        <f t="shared" si="148"/>
        <v>1.06</v>
      </c>
      <c r="H826" s="5">
        <f t="shared" si="154"/>
        <v>503</v>
      </c>
      <c r="I826" s="4"/>
      <c r="J826" s="4">
        <v>0.06</v>
      </c>
      <c r="K826" s="5">
        <f t="shared" si="155"/>
        <v>465</v>
      </c>
      <c r="L826" s="4">
        <v>38</v>
      </c>
      <c r="M826" s="7">
        <f t="shared" si="156"/>
        <v>1.0649032258064517</v>
      </c>
      <c r="N826" s="6"/>
    </row>
    <row r="827" spans="1:14" x14ac:dyDescent="0.25">
      <c r="A827" s="4">
        <v>7760</v>
      </c>
      <c r="B827" s="5">
        <f t="shared" si="149"/>
        <v>8263.6</v>
      </c>
      <c r="C827" s="5">
        <f t="shared" si="150"/>
        <v>2470.0847167862157</v>
      </c>
      <c r="D827" s="34">
        <f t="shared" si="151"/>
        <v>2482.0847167862157</v>
      </c>
      <c r="E827" s="34">
        <f t="shared" si="152"/>
        <v>7797.6991118430778</v>
      </c>
      <c r="F827" s="39">
        <f t="shared" si="153"/>
        <v>3898.8495559215389</v>
      </c>
      <c r="G827" s="46">
        <f t="shared" si="148"/>
        <v>1.06</v>
      </c>
      <c r="H827" s="5">
        <f t="shared" si="154"/>
        <v>503.59999999999997</v>
      </c>
      <c r="I827" s="4"/>
      <c r="J827" s="4">
        <v>0.06</v>
      </c>
      <c r="K827" s="5">
        <f t="shared" si="155"/>
        <v>465.59999999999997</v>
      </c>
      <c r="L827" s="4">
        <v>38</v>
      </c>
      <c r="M827" s="7">
        <f t="shared" si="156"/>
        <v>1.0648969072164949</v>
      </c>
      <c r="N827" s="6"/>
    </row>
    <row r="828" spans="1:14" x14ac:dyDescent="0.25">
      <c r="A828" s="4">
        <v>7770</v>
      </c>
      <c r="B828" s="5">
        <f t="shared" si="149"/>
        <v>8274.2000000000007</v>
      </c>
      <c r="C828" s="5">
        <f t="shared" si="150"/>
        <v>2473.2678156480538</v>
      </c>
      <c r="D828" s="34">
        <f t="shared" si="151"/>
        <v>2485.2678156480538</v>
      </c>
      <c r="E828" s="34">
        <f t="shared" si="152"/>
        <v>7807.6991118430778</v>
      </c>
      <c r="F828" s="39">
        <f t="shared" si="153"/>
        <v>3903.8495559215389</v>
      </c>
      <c r="G828" s="46">
        <f t="shared" si="148"/>
        <v>1.06</v>
      </c>
      <c r="H828" s="5">
        <f t="shared" si="154"/>
        <v>504.2</v>
      </c>
      <c r="I828" s="4"/>
      <c r="J828" s="4">
        <v>0.06</v>
      </c>
      <c r="K828" s="5">
        <f t="shared" si="155"/>
        <v>466.2</v>
      </c>
      <c r="L828" s="4">
        <v>38</v>
      </c>
      <c r="M828" s="7">
        <f t="shared" si="156"/>
        <v>1.0648906048906051</v>
      </c>
      <c r="N828" s="6"/>
    </row>
    <row r="829" spans="1:14" x14ac:dyDescent="0.25">
      <c r="A829" s="4">
        <v>7780</v>
      </c>
      <c r="B829" s="5">
        <f t="shared" si="149"/>
        <v>8284.7999999999993</v>
      </c>
      <c r="C829" s="5">
        <f t="shared" si="150"/>
        <v>2476.4509145098914</v>
      </c>
      <c r="D829" s="34">
        <f t="shared" si="151"/>
        <v>2488.4509145098914</v>
      </c>
      <c r="E829" s="34">
        <f t="shared" si="152"/>
        <v>7817.6991118430769</v>
      </c>
      <c r="F829" s="39">
        <f t="shared" si="153"/>
        <v>3908.8495559215385</v>
      </c>
      <c r="G829" s="46">
        <f t="shared" si="148"/>
        <v>1.06</v>
      </c>
      <c r="H829" s="5">
        <f t="shared" si="154"/>
        <v>504.79999999999995</v>
      </c>
      <c r="I829" s="4"/>
      <c r="J829" s="4">
        <v>0.06</v>
      </c>
      <c r="K829" s="5">
        <f t="shared" si="155"/>
        <v>466.79999999999995</v>
      </c>
      <c r="L829" s="4">
        <v>38</v>
      </c>
      <c r="M829" s="7">
        <f t="shared" si="156"/>
        <v>1.0648843187660668</v>
      </c>
      <c r="N829" s="6"/>
    </row>
    <row r="830" spans="1:14" x14ac:dyDescent="0.25">
      <c r="A830" s="4">
        <v>7790</v>
      </c>
      <c r="B830" s="5">
        <f t="shared" si="149"/>
        <v>8295.4</v>
      </c>
      <c r="C830" s="5">
        <f t="shared" si="150"/>
        <v>2479.6340133717295</v>
      </c>
      <c r="D830" s="34">
        <f t="shared" si="151"/>
        <v>2491.6340133717295</v>
      </c>
      <c r="E830" s="34">
        <f t="shared" si="152"/>
        <v>7827.6991118430778</v>
      </c>
      <c r="F830" s="39">
        <f t="shared" si="153"/>
        <v>3913.8495559215389</v>
      </c>
      <c r="G830" s="46">
        <f t="shared" si="148"/>
        <v>1.06</v>
      </c>
      <c r="H830" s="5">
        <f t="shared" si="154"/>
        <v>505.4</v>
      </c>
      <c r="I830" s="4"/>
      <c r="J830" s="4">
        <v>0.06</v>
      </c>
      <c r="K830" s="5">
        <f t="shared" si="155"/>
        <v>467.4</v>
      </c>
      <c r="L830" s="4">
        <v>38</v>
      </c>
      <c r="M830" s="7">
        <f t="shared" si="156"/>
        <v>1.0648780487804879</v>
      </c>
      <c r="N830" s="6"/>
    </row>
    <row r="831" spans="1:14" x14ac:dyDescent="0.25">
      <c r="A831" s="4">
        <v>7800</v>
      </c>
      <c r="B831" s="5">
        <f t="shared" si="149"/>
        <v>8306</v>
      </c>
      <c r="C831" s="5">
        <f t="shared" si="150"/>
        <v>2482.8171122335675</v>
      </c>
      <c r="D831" s="34">
        <f t="shared" si="151"/>
        <v>2494.8171122335675</v>
      </c>
      <c r="E831" s="34">
        <f t="shared" si="152"/>
        <v>7837.6991118430778</v>
      </c>
      <c r="F831" s="39">
        <f t="shared" si="153"/>
        <v>3918.8495559215389</v>
      </c>
      <c r="G831" s="46">
        <f t="shared" si="148"/>
        <v>1.06</v>
      </c>
      <c r="H831" s="5">
        <f t="shared" si="154"/>
        <v>506</v>
      </c>
      <c r="I831" s="4"/>
      <c r="J831" s="4">
        <v>0.06</v>
      </c>
      <c r="K831" s="5">
        <f t="shared" si="155"/>
        <v>468</v>
      </c>
      <c r="L831" s="4">
        <v>38</v>
      </c>
      <c r="M831" s="7">
        <f t="shared" si="156"/>
        <v>1.064871794871795</v>
      </c>
      <c r="N831" s="6"/>
    </row>
    <row r="832" spans="1:14" x14ac:dyDescent="0.25">
      <c r="A832" s="4">
        <v>7810</v>
      </c>
      <c r="B832" s="5">
        <f t="shared" si="149"/>
        <v>8316.6</v>
      </c>
      <c r="C832" s="5">
        <f t="shared" si="150"/>
        <v>2486.0002110954051</v>
      </c>
      <c r="D832" s="34">
        <f t="shared" si="151"/>
        <v>2498.0002110954051</v>
      </c>
      <c r="E832" s="34">
        <f t="shared" si="152"/>
        <v>7847.6991118430769</v>
      </c>
      <c r="F832" s="39">
        <f t="shared" si="153"/>
        <v>3923.8495559215385</v>
      </c>
      <c r="G832" s="46">
        <f t="shared" si="148"/>
        <v>1.06</v>
      </c>
      <c r="H832" s="5">
        <f t="shared" si="154"/>
        <v>506.59999999999997</v>
      </c>
      <c r="I832" s="4"/>
      <c r="J832" s="4">
        <v>0.06</v>
      </c>
      <c r="K832" s="5">
        <f t="shared" si="155"/>
        <v>468.59999999999997</v>
      </c>
      <c r="L832" s="4">
        <v>38</v>
      </c>
      <c r="M832" s="7">
        <f t="shared" si="156"/>
        <v>1.064865556978233</v>
      </c>
      <c r="N832" s="6"/>
    </row>
    <row r="833" spans="1:14" x14ac:dyDescent="0.25">
      <c r="A833" s="4">
        <v>7820</v>
      </c>
      <c r="B833" s="5">
        <f t="shared" si="149"/>
        <v>8327.2000000000007</v>
      </c>
      <c r="C833" s="5">
        <f t="shared" si="150"/>
        <v>2489.1833099572432</v>
      </c>
      <c r="D833" s="34">
        <f t="shared" si="151"/>
        <v>2501.1833099572432</v>
      </c>
      <c r="E833" s="34">
        <f t="shared" si="152"/>
        <v>7857.6991118430778</v>
      </c>
      <c r="F833" s="39">
        <f t="shared" si="153"/>
        <v>3928.8495559215389</v>
      </c>
      <c r="G833" s="46">
        <f t="shared" si="148"/>
        <v>1.06</v>
      </c>
      <c r="H833" s="5">
        <f t="shared" si="154"/>
        <v>507.2</v>
      </c>
      <c r="I833" s="4"/>
      <c r="J833" s="4">
        <v>0.06</v>
      </c>
      <c r="K833" s="5">
        <f t="shared" si="155"/>
        <v>469.2</v>
      </c>
      <c r="L833" s="4">
        <v>38</v>
      </c>
      <c r="M833" s="7">
        <f t="shared" si="156"/>
        <v>1.0648593350383633</v>
      </c>
      <c r="N833" s="6"/>
    </row>
    <row r="834" spans="1:14" x14ac:dyDescent="0.25">
      <c r="A834" s="4">
        <v>7830</v>
      </c>
      <c r="B834" s="5">
        <f t="shared" si="149"/>
        <v>8337.7999999999993</v>
      </c>
      <c r="C834" s="5">
        <f t="shared" si="150"/>
        <v>2492.3664088190812</v>
      </c>
      <c r="D834" s="34">
        <f t="shared" si="151"/>
        <v>2504.3664088190812</v>
      </c>
      <c r="E834" s="34">
        <f t="shared" si="152"/>
        <v>7867.6991118430778</v>
      </c>
      <c r="F834" s="39">
        <f t="shared" si="153"/>
        <v>3933.8495559215389</v>
      </c>
      <c r="G834" s="46">
        <f t="shared" si="148"/>
        <v>1.06</v>
      </c>
      <c r="H834" s="5">
        <f t="shared" si="154"/>
        <v>507.79999999999995</v>
      </c>
      <c r="I834" s="4"/>
      <c r="J834" s="4">
        <v>0.06</v>
      </c>
      <c r="K834" s="5">
        <f t="shared" si="155"/>
        <v>469.79999999999995</v>
      </c>
      <c r="L834" s="4">
        <v>38</v>
      </c>
      <c r="M834" s="7">
        <f t="shared" si="156"/>
        <v>1.0648531289910599</v>
      </c>
      <c r="N834" s="6"/>
    </row>
    <row r="835" spans="1:14" x14ac:dyDescent="0.25">
      <c r="A835" s="4">
        <v>7840</v>
      </c>
      <c r="B835" s="5">
        <f t="shared" si="149"/>
        <v>8348.4</v>
      </c>
      <c r="C835" s="5">
        <f t="shared" si="150"/>
        <v>2495.5495076809189</v>
      </c>
      <c r="D835" s="34">
        <f t="shared" si="151"/>
        <v>2507.5495076809189</v>
      </c>
      <c r="E835" s="34">
        <f t="shared" si="152"/>
        <v>7877.6991118430769</v>
      </c>
      <c r="F835" s="39">
        <f t="shared" si="153"/>
        <v>3938.8495559215385</v>
      </c>
      <c r="G835" s="46">
        <f t="shared" si="148"/>
        <v>1.06</v>
      </c>
      <c r="H835" s="5">
        <f t="shared" si="154"/>
        <v>508.4</v>
      </c>
      <c r="I835" s="4"/>
      <c r="J835" s="4">
        <v>0.06</v>
      </c>
      <c r="K835" s="5">
        <f t="shared" si="155"/>
        <v>470.4</v>
      </c>
      <c r="L835" s="4">
        <v>38</v>
      </c>
      <c r="M835" s="7">
        <f t="shared" si="156"/>
        <v>1.0648469387755102</v>
      </c>
      <c r="N835" s="6"/>
    </row>
    <row r="836" spans="1:14" x14ac:dyDescent="0.25">
      <c r="A836" s="4">
        <v>7850</v>
      </c>
      <c r="B836" s="5">
        <f t="shared" si="149"/>
        <v>8359</v>
      </c>
      <c r="C836" s="5">
        <f t="shared" si="150"/>
        <v>2498.7326065427569</v>
      </c>
      <c r="D836" s="34">
        <f t="shared" si="151"/>
        <v>2510.7326065427569</v>
      </c>
      <c r="E836" s="34">
        <f t="shared" si="152"/>
        <v>7887.6991118430778</v>
      </c>
      <c r="F836" s="39">
        <f t="shared" si="153"/>
        <v>3943.8495559215389</v>
      </c>
      <c r="G836" s="46">
        <f t="shared" si="148"/>
        <v>1.06</v>
      </c>
      <c r="H836" s="5">
        <f t="shared" si="154"/>
        <v>509</v>
      </c>
      <c r="I836" s="4"/>
      <c r="J836" s="4">
        <v>0.06</v>
      </c>
      <c r="K836" s="5">
        <f t="shared" si="155"/>
        <v>471</v>
      </c>
      <c r="L836" s="4">
        <v>38</v>
      </c>
      <c r="M836" s="7">
        <f t="shared" si="156"/>
        <v>1.0648407643312101</v>
      </c>
      <c r="N836" s="6"/>
    </row>
    <row r="837" spans="1:14" x14ac:dyDescent="0.25">
      <c r="A837" s="4">
        <v>7860</v>
      </c>
      <c r="B837" s="5">
        <f t="shared" si="149"/>
        <v>8369.6</v>
      </c>
      <c r="C837" s="5">
        <f t="shared" si="150"/>
        <v>2501.915705404595</v>
      </c>
      <c r="D837" s="34">
        <f t="shared" si="151"/>
        <v>2513.915705404595</v>
      </c>
      <c r="E837" s="34">
        <f t="shared" si="152"/>
        <v>7897.6991118430778</v>
      </c>
      <c r="F837" s="39">
        <f t="shared" si="153"/>
        <v>3948.8495559215389</v>
      </c>
      <c r="G837" s="46">
        <f t="shared" si="148"/>
        <v>1.06</v>
      </c>
      <c r="H837" s="5">
        <f t="shared" si="154"/>
        <v>509.59999999999997</v>
      </c>
      <c r="I837" s="4"/>
      <c r="J837" s="4">
        <v>0.06</v>
      </c>
      <c r="K837" s="5">
        <f t="shared" si="155"/>
        <v>471.59999999999997</v>
      </c>
      <c r="L837" s="4">
        <v>38</v>
      </c>
      <c r="M837" s="7">
        <f t="shared" si="156"/>
        <v>1.0648346055979645</v>
      </c>
      <c r="N837" s="6"/>
    </row>
    <row r="838" spans="1:14" x14ac:dyDescent="0.25">
      <c r="A838" s="4">
        <v>7870</v>
      </c>
      <c r="B838" s="5">
        <f t="shared" si="149"/>
        <v>8380.2000000000007</v>
      </c>
      <c r="C838" s="5">
        <f t="shared" si="150"/>
        <v>2505.0988042664326</v>
      </c>
      <c r="D838" s="34">
        <f t="shared" si="151"/>
        <v>2517.0988042664326</v>
      </c>
      <c r="E838" s="34">
        <f t="shared" si="152"/>
        <v>7907.6991118430769</v>
      </c>
      <c r="F838" s="39">
        <f t="shared" si="153"/>
        <v>3953.8495559215385</v>
      </c>
      <c r="G838" s="46">
        <f t="shared" ref="G838:G901" si="157">ROUNDUP(B838/E838,2)</f>
        <v>1.06</v>
      </c>
      <c r="H838" s="5">
        <f t="shared" si="154"/>
        <v>510.2</v>
      </c>
      <c r="I838" s="4"/>
      <c r="J838" s="4">
        <v>0.06</v>
      </c>
      <c r="K838" s="5">
        <f t="shared" si="155"/>
        <v>472.2</v>
      </c>
      <c r="L838" s="4">
        <v>38</v>
      </c>
      <c r="M838" s="7">
        <f t="shared" si="156"/>
        <v>1.0648284625158833</v>
      </c>
      <c r="N838" s="6"/>
    </row>
    <row r="839" spans="1:14" x14ac:dyDescent="0.25">
      <c r="A839" s="4">
        <v>7880</v>
      </c>
      <c r="B839" s="5">
        <f t="shared" si="149"/>
        <v>8390.7999999999993</v>
      </c>
      <c r="C839" s="5">
        <f t="shared" si="150"/>
        <v>2508.2819031282706</v>
      </c>
      <c r="D839" s="34">
        <f t="shared" si="151"/>
        <v>2520.2819031282706</v>
      </c>
      <c r="E839" s="34">
        <f t="shared" si="152"/>
        <v>7917.6991118430778</v>
      </c>
      <c r="F839" s="39">
        <f t="shared" si="153"/>
        <v>3958.8495559215389</v>
      </c>
      <c r="G839" s="46">
        <f t="shared" si="157"/>
        <v>1.06</v>
      </c>
      <c r="H839" s="5">
        <f t="shared" si="154"/>
        <v>510.79999999999995</v>
      </c>
      <c r="I839" s="4"/>
      <c r="J839" s="4">
        <v>0.06</v>
      </c>
      <c r="K839" s="5">
        <f t="shared" si="155"/>
        <v>472.79999999999995</v>
      </c>
      <c r="L839" s="4">
        <v>38</v>
      </c>
      <c r="M839" s="7">
        <f t="shared" si="156"/>
        <v>1.0648223350253807</v>
      </c>
      <c r="N839" s="6"/>
    </row>
    <row r="840" spans="1:14" x14ac:dyDescent="0.25">
      <c r="A840" s="4">
        <v>7890</v>
      </c>
      <c r="B840" s="5">
        <f t="shared" si="149"/>
        <v>8401.4</v>
      </c>
      <c r="C840" s="5">
        <f t="shared" si="150"/>
        <v>2511.4650019901087</v>
      </c>
      <c r="D840" s="34">
        <f t="shared" si="151"/>
        <v>2523.4650019901087</v>
      </c>
      <c r="E840" s="34">
        <f t="shared" si="152"/>
        <v>7927.6991118430778</v>
      </c>
      <c r="F840" s="39">
        <f t="shared" si="153"/>
        <v>3963.8495559215389</v>
      </c>
      <c r="G840" s="46">
        <f t="shared" si="157"/>
        <v>1.06</v>
      </c>
      <c r="H840" s="5">
        <f t="shared" si="154"/>
        <v>511.4</v>
      </c>
      <c r="I840" s="4"/>
      <c r="J840" s="4">
        <v>0.06</v>
      </c>
      <c r="K840" s="5">
        <f t="shared" si="155"/>
        <v>473.4</v>
      </c>
      <c r="L840" s="4">
        <v>38</v>
      </c>
      <c r="M840" s="7">
        <f t="shared" si="156"/>
        <v>1.0648162230671736</v>
      </c>
      <c r="N840" s="6"/>
    </row>
    <row r="841" spans="1:14" x14ac:dyDescent="0.25">
      <c r="A841" s="4">
        <v>7900</v>
      </c>
      <c r="B841" s="5">
        <f t="shared" si="149"/>
        <v>8412</v>
      </c>
      <c r="C841" s="5">
        <f t="shared" si="150"/>
        <v>2514.6481008519463</v>
      </c>
      <c r="D841" s="34">
        <f t="shared" si="151"/>
        <v>2526.6481008519463</v>
      </c>
      <c r="E841" s="34">
        <f t="shared" si="152"/>
        <v>7937.6991118430769</v>
      </c>
      <c r="F841" s="39">
        <f t="shared" si="153"/>
        <v>3968.8495559215385</v>
      </c>
      <c r="G841" s="46">
        <f t="shared" si="157"/>
        <v>1.06</v>
      </c>
      <c r="H841" s="5">
        <f t="shared" si="154"/>
        <v>512</v>
      </c>
      <c r="I841" s="4"/>
      <c r="J841" s="4">
        <v>0.06</v>
      </c>
      <c r="K841" s="5">
        <f t="shared" si="155"/>
        <v>474</v>
      </c>
      <c r="L841" s="4">
        <v>38</v>
      </c>
      <c r="M841" s="7">
        <f t="shared" si="156"/>
        <v>1.0648101265822785</v>
      </c>
      <c r="N841" s="6"/>
    </row>
    <row r="842" spans="1:14" x14ac:dyDescent="0.25">
      <c r="A842" s="4">
        <v>7910</v>
      </c>
      <c r="B842" s="5">
        <f t="shared" si="149"/>
        <v>8422.6</v>
      </c>
      <c r="C842" s="5">
        <f t="shared" si="150"/>
        <v>2517.8311997137844</v>
      </c>
      <c r="D842" s="34">
        <f t="shared" si="151"/>
        <v>2529.8311997137844</v>
      </c>
      <c r="E842" s="34">
        <f t="shared" si="152"/>
        <v>7947.6991118430778</v>
      </c>
      <c r="F842" s="39">
        <f t="shared" si="153"/>
        <v>3973.8495559215389</v>
      </c>
      <c r="G842" s="46">
        <f t="shared" si="157"/>
        <v>1.06</v>
      </c>
      <c r="H842" s="5">
        <f t="shared" si="154"/>
        <v>512.59999999999991</v>
      </c>
      <c r="I842" s="4"/>
      <c r="J842" s="4">
        <v>0.06</v>
      </c>
      <c r="K842" s="5">
        <f t="shared" si="155"/>
        <v>474.59999999999997</v>
      </c>
      <c r="L842" s="4">
        <v>38</v>
      </c>
      <c r="M842" s="7">
        <f t="shared" si="156"/>
        <v>1.0648040455120102</v>
      </c>
      <c r="N842" s="6"/>
    </row>
    <row r="843" spans="1:14" x14ac:dyDescent="0.25">
      <c r="A843" s="4">
        <v>7920</v>
      </c>
      <c r="B843" s="5">
        <f t="shared" si="149"/>
        <v>8433.2000000000007</v>
      </c>
      <c r="C843" s="5">
        <f t="shared" si="150"/>
        <v>2521.0142985756224</v>
      </c>
      <c r="D843" s="34">
        <f t="shared" si="151"/>
        <v>2533.0142985756224</v>
      </c>
      <c r="E843" s="34">
        <f t="shared" si="152"/>
        <v>7957.6991118430778</v>
      </c>
      <c r="F843" s="39">
        <f t="shared" si="153"/>
        <v>3978.8495559215389</v>
      </c>
      <c r="G843" s="46">
        <f t="shared" si="157"/>
        <v>1.06</v>
      </c>
      <c r="H843" s="5">
        <f t="shared" si="154"/>
        <v>513.20000000000005</v>
      </c>
      <c r="I843" s="4"/>
      <c r="J843" s="4">
        <v>0.06</v>
      </c>
      <c r="K843" s="5">
        <f t="shared" si="155"/>
        <v>475.2</v>
      </c>
      <c r="L843" s="4">
        <v>38</v>
      </c>
      <c r="M843" s="7">
        <f t="shared" si="156"/>
        <v>1.0647979797979799</v>
      </c>
      <c r="N843" s="6"/>
    </row>
    <row r="844" spans="1:14" x14ac:dyDescent="0.25">
      <c r="A844" s="4">
        <v>7930</v>
      </c>
      <c r="B844" s="5">
        <f t="shared" si="149"/>
        <v>8443.7999999999993</v>
      </c>
      <c r="C844" s="5">
        <f t="shared" si="150"/>
        <v>2524.19739743746</v>
      </c>
      <c r="D844" s="34">
        <f t="shared" si="151"/>
        <v>2536.19739743746</v>
      </c>
      <c r="E844" s="34">
        <f t="shared" si="152"/>
        <v>7967.6991118430769</v>
      </c>
      <c r="F844" s="39">
        <f t="shared" si="153"/>
        <v>3983.8495559215385</v>
      </c>
      <c r="G844" s="46">
        <f t="shared" si="157"/>
        <v>1.06</v>
      </c>
      <c r="H844" s="5">
        <f t="shared" si="154"/>
        <v>513.79999999999995</v>
      </c>
      <c r="I844" s="4"/>
      <c r="J844" s="4">
        <v>0.06</v>
      </c>
      <c r="K844" s="5">
        <f t="shared" si="155"/>
        <v>475.79999999999995</v>
      </c>
      <c r="L844" s="4">
        <v>38</v>
      </c>
      <c r="M844" s="7">
        <f t="shared" si="156"/>
        <v>1.0647919293820933</v>
      </c>
      <c r="N844" s="6"/>
    </row>
    <row r="845" spans="1:14" x14ac:dyDescent="0.25">
      <c r="A845" s="4">
        <v>7940</v>
      </c>
      <c r="B845" s="5">
        <f t="shared" si="149"/>
        <v>8454.4</v>
      </c>
      <c r="C845" s="5">
        <f t="shared" si="150"/>
        <v>2527.3804962992981</v>
      </c>
      <c r="D845" s="34">
        <f t="shared" si="151"/>
        <v>2539.3804962992981</v>
      </c>
      <c r="E845" s="34">
        <f t="shared" si="152"/>
        <v>7977.6991118430778</v>
      </c>
      <c r="F845" s="39">
        <f t="shared" si="153"/>
        <v>3988.8495559215389</v>
      </c>
      <c r="G845" s="46">
        <f t="shared" si="157"/>
        <v>1.06</v>
      </c>
      <c r="H845" s="5">
        <f t="shared" si="154"/>
        <v>514.4</v>
      </c>
      <c r="I845" s="4"/>
      <c r="J845" s="4">
        <v>0.06</v>
      </c>
      <c r="K845" s="5">
        <f t="shared" si="155"/>
        <v>476.4</v>
      </c>
      <c r="L845" s="4">
        <v>38</v>
      </c>
      <c r="M845" s="7">
        <f t="shared" si="156"/>
        <v>1.0647858942065491</v>
      </c>
      <c r="N845" s="6"/>
    </row>
    <row r="846" spans="1:14" x14ac:dyDescent="0.25">
      <c r="A846" s="4">
        <v>7950</v>
      </c>
      <c r="B846" s="5">
        <f t="shared" si="149"/>
        <v>8465</v>
      </c>
      <c r="C846" s="5">
        <f t="shared" si="150"/>
        <v>2530.5635951611362</v>
      </c>
      <c r="D846" s="34">
        <f t="shared" si="151"/>
        <v>2542.5635951611362</v>
      </c>
      <c r="E846" s="34">
        <f t="shared" si="152"/>
        <v>7987.6991118430778</v>
      </c>
      <c r="F846" s="39">
        <f t="shared" si="153"/>
        <v>3993.8495559215389</v>
      </c>
      <c r="G846" s="46">
        <f t="shared" si="157"/>
        <v>1.06</v>
      </c>
      <c r="H846" s="5">
        <f t="shared" si="154"/>
        <v>515</v>
      </c>
      <c r="I846" s="4"/>
      <c r="J846" s="4">
        <v>0.06</v>
      </c>
      <c r="K846" s="5">
        <f t="shared" si="155"/>
        <v>477</v>
      </c>
      <c r="L846" s="4">
        <v>38</v>
      </c>
      <c r="M846" s="7">
        <f t="shared" si="156"/>
        <v>1.0647798742138366</v>
      </c>
      <c r="N846" s="6"/>
    </row>
    <row r="847" spans="1:14" x14ac:dyDescent="0.25">
      <c r="A847" s="4">
        <v>7960</v>
      </c>
      <c r="B847" s="5">
        <f t="shared" si="149"/>
        <v>8475.6</v>
      </c>
      <c r="C847" s="5">
        <f t="shared" si="150"/>
        <v>2533.7466940229738</v>
      </c>
      <c r="D847" s="34">
        <f t="shared" si="151"/>
        <v>2545.7466940229738</v>
      </c>
      <c r="E847" s="34">
        <f t="shared" si="152"/>
        <v>7997.6991118430769</v>
      </c>
      <c r="F847" s="39">
        <f t="shared" si="153"/>
        <v>3998.8495559215385</v>
      </c>
      <c r="G847" s="46">
        <f t="shared" si="157"/>
        <v>1.06</v>
      </c>
      <c r="H847" s="5">
        <f t="shared" si="154"/>
        <v>515.59999999999991</v>
      </c>
      <c r="I847" s="4"/>
      <c r="J847" s="4">
        <v>0.06</v>
      </c>
      <c r="K847" s="5">
        <f t="shared" si="155"/>
        <v>477.59999999999997</v>
      </c>
      <c r="L847" s="4">
        <v>38</v>
      </c>
      <c r="M847" s="7">
        <f t="shared" si="156"/>
        <v>1.0647738693467337</v>
      </c>
      <c r="N847" s="6"/>
    </row>
    <row r="848" spans="1:14" x14ac:dyDescent="0.25">
      <c r="A848" s="4">
        <v>7970</v>
      </c>
      <c r="B848" s="5">
        <f t="shared" si="149"/>
        <v>8486.2000000000007</v>
      </c>
      <c r="C848" s="5">
        <f t="shared" si="150"/>
        <v>2536.9297928848118</v>
      </c>
      <c r="D848" s="34">
        <f t="shared" si="151"/>
        <v>2548.9297928848118</v>
      </c>
      <c r="E848" s="34">
        <f t="shared" si="152"/>
        <v>8007.6991118430778</v>
      </c>
      <c r="F848" s="39">
        <f t="shared" si="153"/>
        <v>4003.8495559215389</v>
      </c>
      <c r="G848" s="46">
        <f t="shared" si="157"/>
        <v>1.06</v>
      </c>
      <c r="H848" s="5">
        <f t="shared" si="154"/>
        <v>516.20000000000005</v>
      </c>
      <c r="I848" s="4"/>
      <c r="J848" s="4">
        <v>0.06</v>
      </c>
      <c r="K848" s="5">
        <f t="shared" si="155"/>
        <v>478.2</v>
      </c>
      <c r="L848" s="4">
        <v>38</v>
      </c>
      <c r="M848" s="7">
        <f t="shared" si="156"/>
        <v>1.0647678795483062</v>
      </c>
      <c r="N848" s="6"/>
    </row>
    <row r="849" spans="1:14" x14ac:dyDescent="0.25">
      <c r="A849" s="4">
        <v>7980</v>
      </c>
      <c r="B849" s="5">
        <f t="shared" si="149"/>
        <v>8496.7999999999993</v>
      </c>
      <c r="C849" s="5">
        <f t="shared" si="150"/>
        <v>2540.1128917466494</v>
      </c>
      <c r="D849" s="34">
        <f t="shared" si="151"/>
        <v>2552.1128917466494</v>
      </c>
      <c r="E849" s="34">
        <f t="shared" si="152"/>
        <v>8017.6991118430769</v>
      </c>
      <c r="F849" s="39">
        <f t="shared" si="153"/>
        <v>4008.8495559215385</v>
      </c>
      <c r="G849" s="46">
        <f t="shared" si="157"/>
        <v>1.06</v>
      </c>
      <c r="H849" s="5">
        <f t="shared" si="154"/>
        <v>516.79999999999995</v>
      </c>
      <c r="I849" s="4"/>
      <c r="J849" s="4">
        <v>0.06</v>
      </c>
      <c r="K849" s="5">
        <f t="shared" si="155"/>
        <v>478.79999999999995</v>
      </c>
      <c r="L849" s="4">
        <v>38</v>
      </c>
      <c r="M849" s="7">
        <f t="shared" si="156"/>
        <v>1.0647619047619046</v>
      </c>
      <c r="N849" s="6"/>
    </row>
    <row r="850" spans="1:14" x14ac:dyDescent="0.25">
      <c r="A850" s="4">
        <v>7990</v>
      </c>
      <c r="B850" s="5">
        <f t="shared" si="149"/>
        <v>8507.4</v>
      </c>
      <c r="C850" s="5">
        <f t="shared" si="150"/>
        <v>2543.2959906084875</v>
      </c>
      <c r="D850" s="34">
        <f t="shared" si="151"/>
        <v>2555.2959906084875</v>
      </c>
      <c r="E850" s="34">
        <f t="shared" si="152"/>
        <v>8027.6991118430769</v>
      </c>
      <c r="F850" s="39">
        <f t="shared" si="153"/>
        <v>4013.8495559215385</v>
      </c>
      <c r="G850" s="46">
        <f t="shared" si="157"/>
        <v>1.06</v>
      </c>
      <c r="H850" s="5">
        <f t="shared" si="154"/>
        <v>517.4</v>
      </c>
      <c r="I850" s="4"/>
      <c r="J850" s="4">
        <v>0.06</v>
      </c>
      <c r="K850" s="5">
        <f t="shared" si="155"/>
        <v>479.4</v>
      </c>
      <c r="L850" s="4">
        <v>38</v>
      </c>
      <c r="M850" s="7">
        <f t="shared" si="156"/>
        <v>1.0647559449311639</v>
      </c>
      <c r="N850" s="6"/>
    </row>
    <row r="851" spans="1:14" x14ac:dyDescent="0.25">
      <c r="A851" s="4">
        <v>8000</v>
      </c>
      <c r="B851" s="5">
        <f t="shared" si="149"/>
        <v>8518</v>
      </c>
      <c r="C851" s="5">
        <f t="shared" si="150"/>
        <v>2546.4790894703256</v>
      </c>
      <c r="D851" s="34">
        <f t="shared" si="151"/>
        <v>2558.4790894703256</v>
      </c>
      <c r="E851" s="34">
        <f t="shared" si="152"/>
        <v>8037.6991118430778</v>
      </c>
      <c r="F851" s="39">
        <f t="shared" si="153"/>
        <v>4018.8495559215389</v>
      </c>
      <c r="G851" s="46">
        <f t="shared" si="157"/>
        <v>1.06</v>
      </c>
      <c r="H851" s="5">
        <f t="shared" si="154"/>
        <v>518</v>
      </c>
      <c r="I851" s="4"/>
      <c r="J851" s="4">
        <v>0.06</v>
      </c>
      <c r="K851" s="5">
        <f t="shared" si="155"/>
        <v>480</v>
      </c>
      <c r="L851" s="4">
        <v>38</v>
      </c>
      <c r="M851" s="7">
        <f t="shared" si="156"/>
        <v>1.0647500000000001</v>
      </c>
      <c r="N851" s="6"/>
    </row>
    <row r="852" spans="1:14" x14ac:dyDescent="0.25">
      <c r="A852" s="4">
        <v>8010</v>
      </c>
      <c r="B852" s="5">
        <f t="shared" si="149"/>
        <v>8528.6</v>
      </c>
      <c r="C852" s="5">
        <f t="shared" si="150"/>
        <v>2549.6621883321632</v>
      </c>
      <c r="D852" s="34">
        <f t="shared" si="151"/>
        <v>2561.6621883321632</v>
      </c>
      <c r="E852" s="34">
        <f t="shared" si="152"/>
        <v>8047.6991118430769</v>
      </c>
      <c r="F852" s="39">
        <f t="shared" si="153"/>
        <v>4023.8495559215385</v>
      </c>
      <c r="G852" s="46">
        <f t="shared" si="157"/>
        <v>1.06</v>
      </c>
      <c r="H852" s="5">
        <f t="shared" si="154"/>
        <v>518.59999999999991</v>
      </c>
      <c r="I852" s="4"/>
      <c r="J852" s="4">
        <v>0.06</v>
      </c>
      <c r="K852" s="5">
        <f t="shared" si="155"/>
        <v>480.59999999999997</v>
      </c>
      <c r="L852" s="4">
        <v>38</v>
      </c>
      <c r="M852" s="7">
        <f t="shared" si="156"/>
        <v>1.0647440699126094</v>
      </c>
      <c r="N852" s="6"/>
    </row>
    <row r="853" spans="1:14" x14ac:dyDescent="0.25">
      <c r="A853" s="4">
        <v>8020</v>
      </c>
      <c r="B853" s="5">
        <f t="shared" si="149"/>
        <v>8539.2000000000007</v>
      </c>
      <c r="C853" s="5">
        <f t="shared" si="150"/>
        <v>2552.8452871940012</v>
      </c>
      <c r="D853" s="34">
        <f t="shared" si="151"/>
        <v>2564.8452871940012</v>
      </c>
      <c r="E853" s="34">
        <f t="shared" si="152"/>
        <v>8057.6991118430769</v>
      </c>
      <c r="F853" s="39">
        <f t="shared" si="153"/>
        <v>4028.8495559215385</v>
      </c>
      <c r="G853" s="46">
        <f t="shared" si="157"/>
        <v>1.06</v>
      </c>
      <c r="H853" s="5">
        <f t="shared" si="154"/>
        <v>519.20000000000005</v>
      </c>
      <c r="I853" s="4"/>
      <c r="J853" s="4">
        <v>0.06</v>
      </c>
      <c r="K853" s="5">
        <f t="shared" si="155"/>
        <v>481.2</v>
      </c>
      <c r="L853" s="4">
        <v>38</v>
      </c>
      <c r="M853" s="7">
        <f t="shared" si="156"/>
        <v>1.0647381546134664</v>
      </c>
      <c r="N853" s="6"/>
    </row>
    <row r="854" spans="1:14" x14ac:dyDescent="0.25">
      <c r="A854" s="4">
        <v>8030</v>
      </c>
      <c r="B854" s="5">
        <f t="shared" si="149"/>
        <v>8549.7999999999993</v>
      </c>
      <c r="C854" s="5">
        <f t="shared" si="150"/>
        <v>2556.0283860558393</v>
      </c>
      <c r="D854" s="34">
        <f t="shared" si="151"/>
        <v>2568.0283860558393</v>
      </c>
      <c r="E854" s="34">
        <f t="shared" si="152"/>
        <v>8067.6991118430778</v>
      </c>
      <c r="F854" s="39">
        <f t="shared" si="153"/>
        <v>4033.8495559215389</v>
      </c>
      <c r="G854" s="46">
        <f t="shared" si="157"/>
        <v>1.06</v>
      </c>
      <c r="H854" s="5">
        <f t="shared" si="154"/>
        <v>519.79999999999995</v>
      </c>
      <c r="I854" s="4"/>
      <c r="J854" s="4">
        <v>0.06</v>
      </c>
      <c r="K854" s="5">
        <f t="shared" si="155"/>
        <v>481.79999999999995</v>
      </c>
      <c r="L854" s="4">
        <v>38</v>
      </c>
      <c r="M854" s="7">
        <f t="shared" si="156"/>
        <v>1.0647322540473225</v>
      </c>
      <c r="N854" s="6"/>
    </row>
    <row r="855" spans="1:14" x14ac:dyDescent="0.25">
      <c r="A855" s="4">
        <v>8040</v>
      </c>
      <c r="B855" s="5">
        <f t="shared" si="149"/>
        <v>8560.4</v>
      </c>
      <c r="C855" s="5">
        <f t="shared" si="150"/>
        <v>2559.2114849176769</v>
      </c>
      <c r="D855" s="34">
        <f t="shared" si="151"/>
        <v>2571.2114849176769</v>
      </c>
      <c r="E855" s="34">
        <f t="shared" si="152"/>
        <v>8077.6991118430769</v>
      </c>
      <c r="F855" s="39">
        <f t="shared" si="153"/>
        <v>4038.8495559215385</v>
      </c>
      <c r="G855" s="46">
        <f t="shared" si="157"/>
        <v>1.06</v>
      </c>
      <c r="H855" s="5">
        <f t="shared" si="154"/>
        <v>520.4</v>
      </c>
      <c r="I855" s="4"/>
      <c r="J855" s="4">
        <v>0.06</v>
      </c>
      <c r="K855" s="5">
        <f t="shared" si="155"/>
        <v>482.4</v>
      </c>
      <c r="L855" s="4">
        <v>38</v>
      </c>
      <c r="M855" s="7">
        <f t="shared" si="156"/>
        <v>1.0647263681592039</v>
      </c>
      <c r="N855" s="6"/>
    </row>
    <row r="856" spans="1:14" x14ac:dyDescent="0.25">
      <c r="A856" s="4">
        <v>8050</v>
      </c>
      <c r="B856" s="5">
        <f t="shared" si="149"/>
        <v>8571</v>
      </c>
      <c r="C856" s="5">
        <f t="shared" si="150"/>
        <v>2562.394583779515</v>
      </c>
      <c r="D856" s="34">
        <f t="shared" si="151"/>
        <v>2574.394583779515</v>
      </c>
      <c r="E856" s="34">
        <f t="shared" si="152"/>
        <v>8087.6991118430769</v>
      </c>
      <c r="F856" s="39">
        <f t="shared" si="153"/>
        <v>4043.8495559215385</v>
      </c>
      <c r="G856" s="46">
        <f t="shared" si="157"/>
        <v>1.06</v>
      </c>
      <c r="H856" s="5">
        <f t="shared" si="154"/>
        <v>521</v>
      </c>
      <c r="I856" s="4"/>
      <c r="J856" s="4">
        <v>0.06</v>
      </c>
      <c r="K856" s="5">
        <f t="shared" si="155"/>
        <v>483</v>
      </c>
      <c r="L856" s="4">
        <v>38</v>
      </c>
      <c r="M856" s="7">
        <f t="shared" si="156"/>
        <v>1.06472049689441</v>
      </c>
      <c r="N856" s="6"/>
    </row>
    <row r="857" spans="1:14" x14ac:dyDescent="0.25">
      <c r="A857" s="4">
        <v>8060</v>
      </c>
      <c r="B857" s="5">
        <f t="shared" si="149"/>
        <v>8581.6</v>
      </c>
      <c r="C857" s="5">
        <f t="shared" si="150"/>
        <v>2565.577682641353</v>
      </c>
      <c r="D857" s="34">
        <f t="shared" si="151"/>
        <v>2577.577682641353</v>
      </c>
      <c r="E857" s="34">
        <f t="shared" si="152"/>
        <v>8097.6991118430778</v>
      </c>
      <c r="F857" s="39">
        <f t="shared" si="153"/>
        <v>4048.8495559215389</v>
      </c>
      <c r="G857" s="46">
        <f t="shared" si="157"/>
        <v>1.06</v>
      </c>
      <c r="H857" s="5">
        <f t="shared" si="154"/>
        <v>521.59999999999991</v>
      </c>
      <c r="I857" s="4"/>
      <c r="J857" s="4">
        <v>0.06</v>
      </c>
      <c r="K857" s="5">
        <f t="shared" si="155"/>
        <v>483.59999999999997</v>
      </c>
      <c r="L857" s="4">
        <v>38</v>
      </c>
      <c r="M857" s="7">
        <f t="shared" si="156"/>
        <v>1.0647146401985113</v>
      </c>
      <c r="N857" s="6"/>
    </row>
    <row r="858" spans="1:14" x14ac:dyDescent="0.25">
      <c r="A858" s="4">
        <v>8070</v>
      </c>
      <c r="B858" s="5">
        <f t="shared" si="149"/>
        <v>8592.2000000000007</v>
      </c>
      <c r="C858" s="5">
        <f t="shared" si="150"/>
        <v>2568.7607815031906</v>
      </c>
      <c r="D858" s="34">
        <f t="shared" si="151"/>
        <v>2580.7607815031906</v>
      </c>
      <c r="E858" s="34">
        <f t="shared" si="152"/>
        <v>8107.6991118430769</v>
      </c>
      <c r="F858" s="39">
        <f t="shared" si="153"/>
        <v>4053.8495559215385</v>
      </c>
      <c r="G858" s="46">
        <f t="shared" si="157"/>
        <v>1.06</v>
      </c>
      <c r="H858" s="5">
        <f t="shared" si="154"/>
        <v>522.20000000000005</v>
      </c>
      <c r="I858" s="4"/>
      <c r="J858" s="4">
        <v>0.06</v>
      </c>
      <c r="K858" s="5">
        <f t="shared" si="155"/>
        <v>484.2</v>
      </c>
      <c r="L858" s="4">
        <v>38</v>
      </c>
      <c r="M858" s="7">
        <f t="shared" si="156"/>
        <v>1.0647087980173482</v>
      </c>
      <c r="N858" s="6"/>
    </row>
    <row r="859" spans="1:14" x14ac:dyDescent="0.25">
      <c r="A859" s="4">
        <v>8080</v>
      </c>
      <c r="B859" s="5">
        <f t="shared" si="149"/>
        <v>8602.7999999999993</v>
      </c>
      <c r="C859" s="5">
        <f t="shared" si="150"/>
        <v>2571.9438803650287</v>
      </c>
      <c r="D859" s="34">
        <f t="shared" si="151"/>
        <v>2583.9438803650287</v>
      </c>
      <c r="E859" s="34">
        <f t="shared" si="152"/>
        <v>8117.6991118430778</v>
      </c>
      <c r="F859" s="39">
        <f t="shared" si="153"/>
        <v>4058.8495559215389</v>
      </c>
      <c r="G859" s="46">
        <f t="shared" si="157"/>
        <v>1.06</v>
      </c>
      <c r="H859" s="5">
        <f t="shared" si="154"/>
        <v>522.79999999999995</v>
      </c>
      <c r="I859" s="4"/>
      <c r="J859" s="4">
        <v>0.06</v>
      </c>
      <c r="K859" s="5">
        <f t="shared" si="155"/>
        <v>484.79999999999995</v>
      </c>
      <c r="L859" s="4">
        <v>38</v>
      </c>
      <c r="M859" s="7">
        <f t="shared" si="156"/>
        <v>1.0647029702970296</v>
      </c>
      <c r="N859" s="6"/>
    </row>
    <row r="860" spans="1:14" x14ac:dyDescent="0.25">
      <c r="A860" s="4">
        <v>8090</v>
      </c>
      <c r="B860" s="5">
        <f t="shared" si="149"/>
        <v>8613.4</v>
      </c>
      <c r="C860" s="5">
        <f t="shared" si="150"/>
        <v>2575.1269792268668</v>
      </c>
      <c r="D860" s="34">
        <f t="shared" si="151"/>
        <v>2587.1269792268668</v>
      </c>
      <c r="E860" s="34">
        <f t="shared" si="152"/>
        <v>8127.6991118430778</v>
      </c>
      <c r="F860" s="39">
        <f t="shared" si="153"/>
        <v>4063.8495559215389</v>
      </c>
      <c r="G860" s="46">
        <f t="shared" si="157"/>
        <v>1.06</v>
      </c>
      <c r="H860" s="5">
        <f t="shared" si="154"/>
        <v>523.4</v>
      </c>
      <c r="I860" s="4"/>
      <c r="J860" s="4">
        <v>0.06</v>
      </c>
      <c r="K860" s="5">
        <f t="shared" si="155"/>
        <v>485.4</v>
      </c>
      <c r="L860" s="4">
        <v>38</v>
      </c>
      <c r="M860" s="7">
        <f t="shared" si="156"/>
        <v>1.0646971569839307</v>
      </c>
      <c r="N860" s="6"/>
    </row>
    <row r="861" spans="1:14" x14ac:dyDescent="0.25">
      <c r="A861" s="4">
        <v>8100</v>
      </c>
      <c r="B861" s="5">
        <f t="shared" si="149"/>
        <v>8624</v>
      </c>
      <c r="C861" s="5">
        <f t="shared" si="150"/>
        <v>2578.3100780887044</v>
      </c>
      <c r="D861" s="34">
        <f t="shared" si="151"/>
        <v>2590.3100780887044</v>
      </c>
      <c r="E861" s="34">
        <f t="shared" si="152"/>
        <v>8137.6991118430769</v>
      </c>
      <c r="F861" s="39">
        <f t="shared" si="153"/>
        <v>4068.8495559215385</v>
      </c>
      <c r="G861" s="46">
        <f t="shared" si="157"/>
        <v>1.06</v>
      </c>
      <c r="H861" s="5">
        <f t="shared" si="154"/>
        <v>524</v>
      </c>
      <c r="I861" s="4"/>
      <c r="J861" s="4">
        <v>0.06</v>
      </c>
      <c r="K861" s="5">
        <f t="shared" si="155"/>
        <v>486</v>
      </c>
      <c r="L861" s="4">
        <v>38</v>
      </c>
      <c r="M861" s="7">
        <f t="shared" si="156"/>
        <v>1.0646913580246913</v>
      </c>
      <c r="N861" s="6"/>
    </row>
    <row r="862" spans="1:14" x14ac:dyDescent="0.25">
      <c r="A862" s="4">
        <v>8110</v>
      </c>
      <c r="B862" s="5">
        <f t="shared" si="149"/>
        <v>8634.6</v>
      </c>
      <c r="C862" s="5">
        <f t="shared" si="150"/>
        <v>2581.4931769505424</v>
      </c>
      <c r="D862" s="34">
        <f t="shared" si="151"/>
        <v>2593.4931769505424</v>
      </c>
      <c r="E862" s="34">
        <f t="shared" si="152"/>
        <v>8147.6991118430778</v>
      </c>
      <c r="F862" s="39">
        <f t="shared" si="153"/>
        <v>4073.8495559215389</v>
      </c>
      <c r="G862" s="46">
        <f t="shared" si="157"/>
        <v>1.06</v>
      </c>
      <c r="H862" s="5">
        <f t="shared" si="154"/>
        <v>524.59999999999991</v>
      </c>
      <c r="I862" s="4"/>
      <c r="J862" s="4">
        <v>0.06</v>
      </c>
      <c r="K862" s="5">
        <f t="shared" si="155"/>
        <v>486.59999999999997</v>
      </c>
      <c r="L862" s="4">
        <v>38</v>
      </c>
      <c r="M862" s="7">
        <f t="shared" si="156"/>
        <v>1.0646855733662146</v>
      </c>
      <c r="N862" s="6"/>
    </row>
    <row r="863" spans="1:14" x14ac:dyDescent="0.25">
      <c r="A863" s="4">
        <v>8120</v>
      </c>
      <c r="B863" s="5">
        <f t="shared" si="149"/>
        <v>8645.2000000000007</v>
      </c>
      <c r="C863" s="5">
        <f t="shared" si="150"/>
        <v>2584.6762758123805</v>
      </c>
      <c r="D863" s="34">
        <f t="shared" si="151"/>
        <v>2596.6762758123805</v>
      </c>
      <c r="E863" s="34">
        <f t="shared" si="152"/>
        <v>8157.6991118430778</v>
      </c>
      <c r="F863" s="39">
        <f t="shared" si="153"/>
        <v>4078.8495559215389</v>
      </c>
      <c r="G863" s="46">
        <f t="shared" si="157"/>
        <v>1.06</v>
      </c>
      <c r="H863" s="5">
        <f t="shared" si="154"/>
        <v>525.20000000000005</v>
      </c>
      <c r="I863" s="4"/>
      <c r="J863" s="4">
        <v>0.06</v>
      </c>
      <c r="K863" s="5">
        <f t="shared" si="155"/>
        <v>487.2</v>
      </c>
      <c r="L863" s="4">
        <v>38</v>
      </c>
      <c r="M863" s="7">
        <f t="shared" si="156"/>
        <v>1.0646798029556652</v>
      </c>
      <c r="N863" s="6"/>
    </row>
    <row r="864" spans="1:14" x14ac:dyDescent="0.25">
      <c r="A864" s="4">
        <v>8130</v>
      </c>
      <c r="B864" s="5">
        <f t="shared" si="149"/>
        <v>8655.7999999999993</v>
      </c>
      <c r="C864" s="5">
        <f t="shared" si="150"/>
        <v>2587.8593746742181</v>
      </c>
      <c r="D864" s="34">
        <f t="shared" si="151"/>
        <v>2599.8593746742181</v>
      </c>
      <c r="E864" s="34">
        <f t="shared" si="152"/>
        <v>8167.6991118430769</v>
      </c>
      <c r="F864" s="39">
        <f t="shared" si="153"/>
        <v>4083.8495559215385</v>
      </c>
      <c r="G864" s="46">
        <f t="shared" si="157"/>
        <v>1.06</v>
      </c>
      <c r="H864" s="5">
        <f t="shared" si="154"/>
        <v>525.79999999999995</v>
      </c>
      <c r="I864" s="4"/>
      <c r="J864" s="4">
        <v>0.06</v>
      </c>
      <c r="K864" s="5">
        <f t="shared" si="155"/>
        <v>487.79999999999995</v>
      </c>
      <c r="L864" s="4">
        <v>38</v>
      </c>
      <c r="M864" s="7">
        <f t="shared" si="156"/>
        <v>1.0646740467404674</v>
      </c>
      <c r="N864" s="6"/>
    </row>
    <row r="865" spans="1:14" x14ac:dyDescent="0.25">
      <c r="A865" s="4">
        <v>8140</v>
      </c>
      <c r="B865" s="5">
        <f t="shared" si="149"/>
        <v>8666.4</v>
      </c>
      <c r="C865" s="5">
        <f t="shared" si="150"/>
        <v>2591.0424735360561</v>
      </c>
      <c r="D865" s="34">
        <f t="shared" si="151"/>
        <v>2603.0424735360561</v>
      </c>
      <c r="E865" s="34">
        <f t="shared" si="152"/>
        <v>8177.6991118430778</v>
      </c>
      <c r="F865" s="39">
        <f t="shared" si="153"/>
        <v>4088.8495559215389</v>
      </c>
      <c r="G865" s="46">
        <f t="shared" si="157"/>
        <v>1.06</v>
      </c>
      <c r="H865" s="5">
        <f t="shared" si="154"/>
        <v>526.4</v>
      </c>
      <c r="I865" s="4"/>
      <c r="J865" s="4">
        <v>0.06</v>
      </c>
      <c r="K865" s="5">
        <f t="shared" si="155"/>
        <v>488.4</v>
      </c>
      <c r="L865" s="4">
        <v>38</v>
      </c>
      <c r="M865" s="7">
        <f t="shared" si="156"/>
        <v>1.0646683046683045</v>
      </c>
      <c r="N865" s="6"/>
    </row>
    <row r="866" spans="1:14" x14ac:dyDescent="0.25">
      <c r="A866" s="4">
        <v>8150</v>
      </c>
      <c r="B866" s="5">
        <f t="shared" si="149"/>
        <v>8677</v>
      </c>
      <c r="C866" s="5">
        <f t="shared" si="150"/>
        <v>2594.2255723978942</v>
      </c>
      <c r="D866" s="34">
        <f t="shared" si="151"/>
        <v>2606.2255723978942</v>
      </c>
      <c r="E866" s="34">
        <f t="shared" si="152"/>
        <v>8187.6991118430778</v>
      </c>
      <c r="F866" s="39">
        <f t="shared" si="153"/>
        <v>4093.8495559215389</v>
      </c>
      <c r="G866" s="46">
        <f t="shared" si="157"/>
        <v>1.06</v>
      </c>
      <c r="H866" s="5">
        <f t="shared" si="154"/>
        <v>527</v>
      </c>
      <c r="I866" s="4"/>
      <c r="J866" s="4">
        <v>0.06</v>
      </c>
      <c r="K866" s="5">
        <f t="shared" si="155"/>
        <v>489</v>
      </c>
      <c r="L866" s="4">
        <v>38</v>
      </c>
      <c r="M866" s="7">
        <f t="shared" si="156"/>
        <v>1.0646625766871165</v>
      </c>
      <c r="N866" s="6"/>
    </row>
    <row r="867" spans="1:14" x14ac:dyDescent="0.25">
      <c r="A867" s="4">
        <v>8160</v>
      </c>
      <c r="B867" s="5">
        <f t="shared" si="149"/>
        <v>8687.6</v>
      </c>
      <c r="C867" s="5">
        <f t="shared" si="150"/>
        <v>2597.4086712597318</v>
      </c>
      <c r="D867" s="34">
        <f t="shared" si="151"/>
        <v>2609.4086712597318</v>
      </c>
      <c r="E867" s="34">
        <f t="shared" si="152"/>
        <v>8197.6991118430778</v>
      </c>
      <c r="F867" s="39">
        <f t="shared" si="153"/>
        <v>4098.8495559215389</v>
      </c>
      <c r="G867" s="46">
        <f t="shared" si="157"/>
        <v>1.06</v>
      </c>
      <c r="H867" s="5">
        <f t="shared" si="154"/>
        <v>527.59999999999991</v>
      </c>
      <c r="I867" s="4"/>
      <c r="J867" s="4">
        <v>0.06</v>
      </c>
      <c r="K867" s="5">
        <f t="shared" si="155"/>
        <v>489.59999999999997</v>
      </c>
      <c r="L867" s="4">
        <v>38</v>
      </c>
      <c r="M867" s="7">
        <f t="shared" si="156"/>
        <v>1.0646568627450981</v>
      </c>
      <c r="N867" s="6"/>
    </row>
    <row r="868" spans="1:14" x14ac:dyDescent="0.25">
      <c r="A868" s="4">
        <v>8170</v>
      </c>
      <c r="B868" s="5">
        <f t="shared" si="149"/>
        <v>8698.2000000000007</v>
      </c>
      <c r="C868" s="5">
        <f t="shared" si="150"/>
        <v>2600.5917701215699</v>
      </c>
      <c r="D868" s="34">
        <f t="shared" si="151"/>
        <v>2612.5917701215699</v>
      </c>
      <c r="E868" s="34">
        <f t="shared" si="152"/>
        <v>8207.6991118430778</v>
      </c>
      <c r="F868" s="39">
        <f t="shared" si="153"/>
        <v>4103.8495559215389</v>
      </c>
      <c r="G868" s="46">
        <f t="shared" si="157"/>
        <v>1.06</v>
      </c>
      <c r="H868" s="5">
        <f t="shared" si="154"/>
        <v>528.20000000000005</v>
      </c>
      <c r="I868" s="4"/>
      <c r="J868" s="4">
        <v>0.06</v>
      </c>
      <c r="K868" s="5">
        <f t="shared" si="155"/>
        <v>490.2</v>
      </c>
      <c r="L868" s="4">
        <v>38</v>
      </c>
      <c r="M868" s="7">
        <f t="shared" si="156"/>
        <v>1.0646511627906978</v>
      </c>
      <c r="N868" s="6"/>
    </row>
    <row r="869" spans="1:14" x14ac:dyDescent="0.25">
      <c r="A869" s="4">
        <v>8180</v>
      </c>
      <c r="B869" s="5">
        <f t="shared" si="149"/>
        <v>8708.7999999999993</v>
      </c>
      <c r="C869" s="5">
        <f t="shared" si="150"/>
        <v>2603.7748689834079</v>
      </c>
      <c r="D869" s="34">
        <f t="shared" si="151"/>
        <v>2615.7748689834079</v>
      </c>
      <c r="E869" s="34">
        <f t="shared" si="152"/>
        <v>8217.6991118430778</v>
      </c>
      <c r="F869" s="39">
        <f t="shared" si="153"/>
        <v>4108.8495559215389</v>
      </c>
      <c r="G869" s="46">
        <f t="shared" si="157"/>
        <v>1.06</v>
      </c>
      <c r="H869" s="5">
        <f t="shared" si="154"/>
        <v>528.79999999999995</v>
      </c>
      <c r="I869" s="4"/>
      <c r="J869" s="4">
        <v>0.06</v>
      </c>
      <c r="K869" s="5">
        <f t="shared" si="155"/>
        <v>490.79999999999995</v>
      </c>
      <c r="L869" s="4">
        <v>38</v>
      </c>
      <c r="M869" s="7">
        <f t="shared" si="156"/>
        <v>1.0646454767726161</v>
      </c>
      <c r="N869" s="6"/>
    </row>
    <row r="870" spans="1:14" x14ac:dyDescent="0.25">
      <c r="A870" s="4">
        <v>8190</v>
      </c>
      <c r="B870" s="5">
        <f t="shared" si="149"/>
        <v>8719.4</v>
      </c>
      <c r="C870" s="5">
        <f t="shared" si="150"/>
        <v>2606.9579678452455</v>
      </c>
      <c r="D870" s="34">
        <f t="shared" si="151"/>
        <v>2618.9579678452455</v>
      </c>
      <c r="E870" s="34">
        <f t="shared" si="152"/>
        <v>8227.6991118430778</v>
      </c>
      <c r="F870" s="39">
        <f t="shared" si="153"/>
        <v>4113.8495559215389</v>
      </c>
      <c r="G870" s="46">
        <f t="shared" si="157"/>
        <v>1.06</v>
      </c>
      <c r="H870" s="5">
        <f t="shared" si="154"/>
        <v>529.4</v>
      </c>
      <c r="I870" s="4"/>
      <c r="J870" s="4">
        <v>0.06</v>
      </c>
      <c r="K870" s="5">
        <f t="shared" si="155"/>
        <v>491.4</v>
      </c>
      <c r="L870" s="4">
        <v>38</v>
      </c>
      <c r="M870" s="7">
        <f t="shared" si="156"/>
        <v>1.0646398046398047</v>
      </c>
      <c r="N870" s="6"/>
    </row>
    <row r="871" spans="1:14" x14ac:dyDescent="0.25">
      <c r="A871" s="4">
        <v>8200</v>
      </c>
      <c r="B871" s="5">
        <f t="shared" si="149"/>
        <v>8730</v>
      </c>
      <c r="C871" s="5">
        <f t="shared" si="150"/>
        <v>2610.1410667070836</v>
      </c>
      <c r="D871" s="34">
        <f t="shared" si="151"/>
        <v>2622.1410667070836</v>
      </c>
      <c r="E871" s="34">
        <f t="shared" si="152"/>
        <v>8237.6991118430778</v>
      </c>
      <c r="F871" s="39">
        <f t="shared" si="153"/>
        <v>4118.8495559215389</v>
      </c>
      <c r="G871" s="46">
        <f t="shared" si="157"/>
        <v>1.06</v>
      </c>
      <c r="H871" s="5">
        <f t="shared" si="154"/>
        <v>530</v>
      </c>
      <c r="I871" s="4"/>
      <c r="J871" s="4">
        <v>0.06</v>
      </c>
      <c r="K871" s="5">
        <f t="shared" si="155"/>
        <v>492</v>
      </c>
      <c r="L871" s="4">
        <v>38</v>
      </c>
      <c r="M871" s="7">
        <f t="shared" si="156"/>
        <v>1.0646341463414635</v>
      </c>
      <c r="N871" s="6"/>
    </row>
    <row r="872" spans="1:14" x14ac:dyDescent="0.25">
      <c r="A872" s="4">
        <v>8210</v>
      </c>
      <c r="B872" s="5">
        <f t="shared" si="149"/>
        <v>8740.6</v>
      </c>
      <c r="C872" s="5">
        <f t="shared" si="150"/>
        <v>2613.3241655689217</v>
      </c>
      <c r="D872" s="34">
        <f t="shared" si="151"/>
        <v>2625.3241655689217</v>
      </c>
      <c r="E872" s="34">
        <f t="shared" si="152"/>
        <v>8247.6991118430778</v>
      </c>
      <c r="F872" s="39">
        <f t="shared" si="153"/>
        <v>4123.8495559215389</v>
      </c>
      <c r="G872" s="46">
        <f t="shared" si="157"/>
        <v>1.06</v>
      </c>
      <c r="H872" s="5">
        <f t="shared" si="154"/>
        <v>530.59999999999991</v>
      </c>
      <c r="I872" s="4"/>
      <c r="J872" s="4">
        <v>0.06</v>
      </c>
      <c r="K872" s="5">
        <f t="shared" si="155"/>
        <v>492.59999999999997</v>
      </c>
      <c r="L872" s="4">
        <v>38</v>
      </c>
      <c r="M872" s="7">
        <f t="shared" si="156"/>
        <v>1.0646285018270403</v>
      </c>
      <c r="N872" s="6"/>
    </row>
    <row r="873" spans="1:14" x14ac:dyDescent="0.25">
      <c r="A873" s="4">
        <v>8220</v>
      </c>
      <c r="B873" s="5">
        <f t="shared" si="149"/>
        <v>8751.2000000000007</v>
      </c>
      <c r="C873" s="5">
        <f t="shared" si="150"/>
        <v>2616.5072644307593</v>
      </c>
      <c r="D873" s="34">
        <f t="shared" si="151"/>
        <v>2628.5072644307593</v>
      </c>
      <c r="E873" s="34">
        <f t="shared" si="152"/>
        <v>8257.6991118430778</v>
      </c>
      <c r="F873" s="39">
        <f t="shared" si="153"/>
        <v>4128.8495559215389</v>
      </c>
      <c r="G873" s="46">
        <f t="shared" si="157"/>
        <v>1.06</v>
      </c>
      <c r="H873" s="5">
        <f t="shared" si="154"/>
        <v>531.20000000000005</v>
      </c>
      <c r="I873" s="4"/>
      <c r="J873" s="4">
        <v>0.06</v>
      </c>
      <c r="K873" s="5">
        <f t="shared" si="155"/>
        <v>493.2</v>
      </c>
      <c r="L873" s="4">
        <v>38</v>
      </c>
      <c r="M873" s="7">
        <f t="shared" si="156"/>
        <v>1.0646228710462289</v>
      </c>
      <c r="N873" s="6"/>
    </row>
    <row r="874" spans="1:14" x14ac:dyDescent="0.25">
      <c r="A874" s="4">
        <v>8230</v>
      </c>
      <c r="B874" s="5">
        <f t="shared" si="149"/>
        <v>8761.7999999999993</v>
      </c>
      <c r="C874" s="5">
        <f t="shared" si="150"/>
        <v>2619.6903632925973</v>
      </c>
      <c r="D874" s="34">
        <f t="shared" si="151"/>
        <v>2631.6903632925973</v>
      </c>
      <c r="E874" s="34">
        <f t="shared" si="152"/>
        <v>8267.6991118430778</v>
      </c>
      <c r="F874" s="39">
        <f t="shared" si="153"/>
        <v>4133.8495559215389</v>
      </c>
      <c r="G874" s="46">
        <f t="shared" si="157"/>
        <v>1.06</v>
      </c>
      <c r="H874" s="5">
        <f t="shared" si="154"/>
        <v>531.79999999999995</v>
      </c>
      <c r="I874" s="4"/>
      <c r="J874" s="4">
        <v>0.06</v>
      </c>
      <c r="K874" s="5">
        <f t="shared" si="155"/>
        <v>493.79999999999995</v>
      </c>
      <c r="L874" s="4">
        <v>38</v>
      </c>
      <c r="M874" s="7">
        <f t="shared" si="156"/>
        <v>1.0646172539489671</v>
      </c>
      <c r="N874" s="6"/>
    </row>
    <row r="875" spans="1:14" x14ac:dyDescent="0.25">
      <c r="A875" s="4">
        <v>8240</v>
      </c>
      <c r="B875" s="5">
        <f t="shared" si="149"/>
        <v>8772.4</v>
      </c>
      <c r="C875" s="5">
        <f t="shared" si="150"/>
        <v>2622.8734621544354</v>
      </c>
      <c r="D875" s="34">
        <f t="shared" si="151"/>
        <v>2634.8734621544354</v>
      </c>
      <c r="E875" s="34">
        <f t="shared" si="152"/>
        <v>8277.6991118430778</v>
      </c>
      <c r="F875" s="39">
        <f t="shared" si="153"/>
        <v>4138.8495559215389</v>
      </c>
      <c r="G875" s="46">
        <f t="shared" si="157"/>
        <v>1.06</v>
      </c>
      <c r="H875" s="5">
        <f t="shared" si="154"/>
        <v>532.4</v>
      </c>
      <c r="I875" s="4"/>
      <c r="J875" s="4">
        <v>0.06</v>
      </c>
      <c r="K875" s="5">
        <f t="shared" si="155"/>
        <v>494.4</v>
      </c>
      <c r="L875" s="4">
        <v>38</v>
      </c>
      <c r="M875" s="7">
        <f t="shared" si="156"/>
        <v>1.0646116504854368</v>
      </c>
      <c r="N875" s="6"/>
    </row>
    <row r="876" spans="1:14" x14ac:dyDescent="0.25">
      <c r="A876" s="4">
        <v>8250</v>
      </c>
      <c r="B876" s="5">
        <f t="shared" si="149"/>
        <v>8783</v>
      </c>
      <c r="C876" s="5">
        <f t="shared" si="150"/>
        <v>2626.056561016273</v>
      </c>
      <c r="D876" s="34">
        <f t="shared" si="151"/>
        <v>2638.056561016273</v>
      </c>
      <c r="E876" s="34">
        <f t="shared" si="152"/>
        <v>8287.6991118430778</v>
      </c>
      <c r="F876" s="39">
        <f t="shared" si="153"/>
        <v>4143.8495559215389</v>
      </c>
      <c r="G876" s="46">
        <f t="shared" si="157"/>
        <v>1.06</v>
      </c>
      <c r="H876" s="5">
        <f t="shared" si="154"/>
        <v>533</v>
      </c>
      <c r="I876" s="4"/>
      <c r="J876" s="4">
        <v>0.06</v>
      </c>
      <c r="K876" s="5">
        <f t="shared" si="155"/>
        <v>495</v>
      </c>
      <c r="L876" s="4">
        <v>38</v>
      </c>
      <c r="M876" s="7">
        <f t="shared" si="156"/>
        <v>1.0646060606060606</v>
      </c>
      <c r="N876" s="6"/>
    </row>
    <row r="877" spans="1:14" x14ac:dyDescent="0.25">
      <c r="A877" s="4">
        <v>8260</v>
      </c>
      <c r="B877" s="5">
        <f t="shared" si="149"/>
        <v>8793.6</v>
      </c>
      <c r="C877" s="5">
        <f t="shared" si="150"/>
        <v>2629.2396598781111</v>
      </c>
      <c r="D877" s="34">
        <f t="shared" si="151"/>
        <v>2641.2396598781111</v>
      </c>
      <c r="E877" s="34">
        <f t="shared" si="152"/>
        <v>8297.6991118430778</v>
      </c>
      <c r="F877" s="39">
        <f t="shared" si="153"/>
        <v>4148.8495559215389</v>
      </c>
      <c r="G877" s="46">
        <f t="shared" si="157"/>
        <v>1.06</v>
      </c>
      <c r="H877" s="5">
        <f t="shared" si="154"/>
        <v>533.59999999999991</v>
      </c>
      <c r="I877" s="4"/>
      <c r="J877" s="4">
        <v>0.06</v>
      </c>
      <c r="K877" s="5">
        <f t="shared" si="155"/>
        <v>495.59999999999997</v>
      </c>
      <c r="L877" s="4">
        <v>38</v>
      </c>
      <c r="M877" s="7">
        <f t="shared" si="156"/>
        <v>1.0646004842615013</v>
      </c>
      <c r="N877" s="6"/>
    </row>
    <row r="878" spans="1:14" x14ac:dyDescent="0.25">
      <c r="A878" s="4">
        <v>8270</v>
      </c>
      <c r="B878" s="5">
        <f t="shared" ref="B878:B941" si="158">A878+K878+L878</f>
        <v>8804.2000000000007</v>
      </c>
      <c r="C878" s="5">
        <f t="shared" ref="C878:C941" si="159">A878/PI()</f>
        <v>2632.4227587399491</v>
      </c>
      <c r="D878" s="34">
        <f t="shared" ref="D878:D941" si="160">C878+12</f>
        <v>2644.4227587399491</v>
      </c>
      <c r="E878" s="34">
        <f t="shared" ref="E878:E941" si="161">D878*PI()</f>
        <v>8307.6991118430778</v>
      </c>
      <c r="F878" s="39">
        <f t="shared" ref="F878:F941" si="162">E878/2</f>
        <v>4153.8495559215389</v>
      </c>
      <c r="G878" s="46">
        <f t="shared" si="157"/>
        <v>1.06</v>
      </c>
      <c r="H878" s="5">
        <f t="shared" ref="H878:H941" si="163">K878+L878</f>
        <v>534.20000000000005</v>
      </c>
      <c r="I878" s="4"/>
      <c r="J878" s="4">
        <v>0.06</v>
      </c>
      <c r="K878" s="5">
        <f t="shared" ref="K878:K941" si="164">A878*J878</f>
        <v>496.2</v>
      </c>
      <c r="L878" s="4">
        <v>38</v>
      </c>
      <c r="M878" s="7">
        <f t="shared" ref="M878:M941" si="165">B878/A878</f>
        <v>1.0645949214026602</v>
      </c>
      <c r="N878" s="6"/>
    </row>
    <row r="879" spans="1:14" x14ac:dyDescent="0.25">
      <c r="A879" s="4">
        <v>8280</v>
      </c>
      <c r="B879" s="5">
        <f t="shared" si="158"/>
        <v>8814.7999999999993</v>
      </c>
      <c r="C879" s="5">
        <f t="shared" si="159"/>
        <v>2635.6058576017867</v>
      </c>
      <c r="D879" s="34">
        <f t="shared" si="160"/>
        <v>2647.6058576017867</v>
      </c>
      <c r="E879" s="34">
        <f t="shared" si="161"/>
        <v>8317.6991118430778</v>
      </c>
      <c r="F879" s="39">
        <f t="shared" si="162"/>
        <v>4158.8495559215389</v>
      </c>
      <c r="G879" s="46">
        <f t="shared" si="157"/>
        <v>1.06</v>
      </c>
      <c r="H879" s="5">
        <f t="shared" si="163"/>
        <v>534.79999999999995</v>
      </c>
      <c r="I879" s="4"/>
      <c r="J879" s="4">
        <v>0.06</v>
      </c>
      <c r="K879" s="5">
        <f t="shared" si="164"/>
        <v>496.79999999999995</v>
      </c>
      <c r="L879" s="4">
        <v>38</v>
      </c>
      <c r="M879" s="7">
        <f t="shared" si="165"/>
        <v>1.0645893719806763</v>
      </c>
      <c r="N879" s="6"/>
    </row>
    <row r="880" spans="1:14" x14ac:dyDescent="0.25">
      <c r="A880" s="4">
        <v>8290</v>
      </c>
      <c r="B880" s="5">
        <f t="shared" si="158"/>
        <v>8825.4</v>
      </c>
      <c r="C880" s="5">
        <f t="shared" si="159"/>
        <v>2638.7889564636248</v>
      </c>
      <c r="D880" s="34">
        <f t="shared" si="160"/>
        <v>2650.7889564636248</v>
      </c>
      <c r="E880" s="34">
        <f t="shared" si="161"/>
        <v>8327.6991118430778</v>
      </c>
      <c r="F880" s="39">
        <f t="shared" si="162"/>
        <v>4163.8495559215389</v>
      </c>
      <c r="G880" s="46">
        <f t="shared" si="157"/>
        <v>1.06</v>
      </c>
      <c r="H880" s="5">
        <f t="shared" si="163"/>
        <v>535.4</v>
      </c>
      <c r="I880" s="4"/>
      <c r="J880" s="4">
        <v>0.06</v>
      </c>
      <c r="K880" s="5">
        <f t="shared" si="164"/>
        <v>497.4</v>
      </c>
      <c r="L880" s="4">
        <v>38</v>
      </c>
      <c r="M880" s="7">
        <f t="shared" si="165"/>
        <v>1.064583835946924</v>
      </c>
      <c r="N880" s="6"/>
    </row>
    <row r="881" spans="1:14" x14ac:dyDescent="0.25">
      <c r="A881" s="4">
        <v>8300</v>
      </c>
      <c r="B881" s="5">
        <f t="shared" si="158"/>
        <v>8836</v>
      </c>
      <c r="C881" s="5">
        <f t="shared" si="159"/>
        <v>2641.9720553254629</v>
      </c>
      <c r="D881" s="34">
        <f t="shared" si="160"/>
        <v>2653.9720553254629</v>
      </c>
      <c r="E881" s="34">
        <f t="shared" si="161"/>
        <v>8337.6991118430778</v>
      </c>
      <c r="F881" s="39">
        <f t="shared" si="162"/>
        <v>4168.8495559215389</v>
      </c>
      <c r="G881" s="46">
        <f t="shared" si="157"/>
        <v>1.06</v>
      </c>
      <c r="H881" s="5">
        <f t="shared" si="163"/>
        <v>536</v>
      </c>
      <c r="I881" s="4"/>
      <c r="J881" s="4">
        <v>0.06</v>
      </c>
      <c r="K881" s="5">
        <f t="shared" si="164"/>
        <v>498</v>
      </c>
      <c r="L881" s="4">
        <v>38</v>
      </c>
      <c r="M881" s="7">
        <f t="shared" si="165"/>
        <v>1.064578313253012</v>
      </c>
      <c r="N881" s="6"/>
    </row>
    <row r="882" spans="1:14" x14ac:dyDescent="0.25">
      <c r="A882" s="4">
        <v>8310</v>
      </c>
      <c r="B882" s="5">
        <f t="shared" si="158"/>
        <v>8846.6</v>
      </c>
      <c r="C882" s="5">
        <f t="shared" si="159"/>
        <v>2645.1551541873005</v>
      </c>
      <c r="D882" s="34">
        <f t="shared" si="160"/>
        <v>2657.1551541873005</v>
      </c>
      <c r="E882" s="34">
        <f t="shared" si="161"/>
        <v>8347.6991118430778</v>
      </c>
      <c r="F882" s="39">
        <f t="shared" si="162"/>
        <v>4173.8495559215389</v>
      </c>
      <c r="G882" s="46">
        <f t="shared" si="157"/>
        <v>1.06</v>
      </c>
      <c r="H882" s="5">
        <f t="shared" si="163"/>
        <v>536.59999999999991</v>
      </c>
      <c r="I882" s="4"/>
      <c r="J882" s="4">
        <v>0.06</v>
      </c>
      <c r="K882" s="5">
        <f t="shared" si="164"/>
        <v>498.59999999999997</v>
      </c>
      <c r="L882" s="4">
        <v>38</v>
      </c>
      <c r="M882" s="7">
        <f t="shared" si="165"/>
        <v>1.0645728038507822</v>
      </c>
      <c r="N882" s="6"/>
    </row>
    <row r="883" spans="1:14" x14ac:dyDescent="0.25">
      <c r="A883" s="4">
        <v>8320</v>
      </c>
      <c r="B883" s="5">
        <f t="shared" si="158"/>
        <v>8857.2000000000007</v>
      </c>
      <c r="C883" s="5">
        <f t="shared" si="159"/>
        <v>2648.3382530491385</v>
      </c>
      <c r="D883" s="34">
        <f t="shared" si="160"/>
        <v>2660.3382530491385</v>
      </c>
      <c r="E883" s="34">
        <f t="shared" si="161"/>
        <v>8357.6991118430778</v>
      </c>
      <c r="F883" s="39">
        <f t="shared" si="162"/>
        <v>4178.8495559215389</v>
      </c>
      <c r="G883" s="46">
        <f t="shared" si="157"/>
        <v>1.06</v>
      </c>
      <c r="H883" s="5">
        <f t="shared" si="163"/>
        <v>537.20000000000005</v>
      </c>
      <c r="I883" s="4"/>
      <c r="J883" s="4">
        <v>0.06</v>
      </c>
      <c r="K883" s="5">
        <f t="shared" si="164"/>
        <v>499.2</v>
      </c>
      <c r="L883" s="4">
        <v>38</v>
      </c>
      <c r="M883" s="7">
        <f t="shared" si="165"/>
        <v>1.0645673076923077</v>
      </c>
      <c r="N883" s="6"/>
    </row>
    <row r="884" spans="1:14" x14ac:dyDescent="0.25">
      <c r="A884" s="4">
        <v>8330</v>
      </c>
      <c r="B884" s="5">
        <f t="shared" si="158"/>
        <v>8867.7999999999993</v>
      </c>
      <c r="C884" s="5">
        <f t="shared" si="159"/>
        <v>2651.5213519109766</v>
      </c>
      <c r="D884" s="34">
        <f t="shared" si="160"/>
        <v>2663.5213519109766</v>
      </c>
      <c r="E884" s="34">
        <f t="shared" si="161"/>
        <v>8367.6991118430778</v>
      </c>
      <c r="F884" s="39">
        <f t="shared" si="162"/>
        <v>4183.8495559215389</v>
      </c>
      <c r="G884" s="46">
        <f t="shared" si="157"/>
        <v>1.06</v>
      </c>
      <c r="H884" s="5">
        <f t="shared" si="163"/>
        <v>537.79999999999995</v>
      </c>
      <c r="I884" s="4"/>
      <c r="J884" s="4">
        <v>0.06</v>
      </c>
      <c r="K884" s="5">
        <f t="shared" si="164"/>
        <v>499.79999999999995</v>
      </c>
      <c r="L884" s="4">
        <v>38</v>
      </c>
      <c r="M884" s="7">
        <f t="shared" si="165"/>
        <v>1.0645618247298918</v>
      </c>
      <c r="N884" s="6"/>
    </row>
    <row r="885" spans="1:14" x14ac:dyDescent="0.25">
      <c r="A885" s="4">
        <v>8340</v>
      </c>
      <c r="B885" s="5">
        <f t="shared" si="158"/>
        <v>8878.4</v>
      </c>
      <c r="C885" s="5">
        <f t="shared" si="159"/>
        <v>2654.7044507728142</v>
      </c>
      <c r="D885" s="34">
        <f t="shared" si="160"/>
        <v>2666.7044507728142</v>
      </c>
      <c r="E885" s="34">
        <f t="shared" si="161"/>
        <v>8377.6991118430778</v>
      </c>
      <c r="F885" s="39">
        <f t="shared" si="162"/>
        <v>4188.8495559215389</v>
      </c>
      <c r="G885" s="46">
        <f t="shared" si="157"/>
        <v>1.06</v>
      </c>
      <c r="H885" s="5">
        <f t="shared" si="163"/>
        <v>538.4</v>
      </c>
      <c r="I885" s="4"/>
      <c r="J885" s="4">
        <v>0.06</v>
      </c>
      <c r="K885" s="5">
        <f t="shared" si="164"/>
        <v>500.4</v>
      </c>
      <c r="L885" s="4">
        <v>38</v>
      </c>
      <c r="M885" s="7">
        <f t="shared" si="165"/>
        <v>1.064556354916067</v>
      </c>
      <c r="N885" s="6"/>
    </row>
    <row r="886" spans="1:14" x14ac:dyDescent="0.25">
      <c r="A886" s="4">
        <v>8350</v>
      </c>
      <c r="B886" s="5">
        <f t="shared" si="158"/>
        <v>8889</v>
      </c>
      <c r="C886" s="5">
        <f t="shared" si="159"/>
        <v>2657.8875496346523</v>
      </c>
      <c r="D886" s="34">
        <f t="shared" si="160"/>
        <v>2669.8875496346523</v>
      </c>
      <c r="E886" s="34">
        <f t="shared" si="161"/>
        <v>8387.6991118430778</v>
      </c>
      <c r="F886" s="39">
        <f t="shared" si="162"/>
        <v>4193.8495559215389</v>
      </c>
      <c r="G886" s="46">
        <f t="shared" si="157"/>
        <v>1.06</v>
      </c>
      <c r="H886" s="5">
        <f t="shared" si="163"/>
        <v>539</v>
      </c>
      <c r="I886" s="4"/>
      <c r="J886" s="4">
        <v>0.06</v>
      </c>
      <c r="K886" s="5">
        <f t="shared" si="164"/>
        <v>501</v>
      </c>
      <c r="L886" s="4">
        <v>38</v>
      </c>
      <c r="M886" s="7">
        <f t="shared" si="165"/>
        <v>1.0645508982035927</v>
      </c>
      <c r="N886" s="6"/>
    </row>
    <row r="887" spans="1:14" x14ac:dyDescent="0.25">
      <c r="A887" s="4">
        <v>8360</v>
      </c>
      <c r="B887" s="5">
        <f t="shared" si="158"/>
        <v>8899.6</v>
      </c>
      <c r="C887" s="5">
        <f t="shared" si="159"/>
        <v>2661.0706484964903</v>
      </c>
      <c r="D887" s="34">
        <f t="shared" si="160"/>
        <v>2673.0706484964903</v>
      </c>
      <c r="E887" s="34">
        <f t="shared" si="161"/>
        <v>8397.6991118430778</v>
      </c>
      <c r="F887" s="39">
        <f t="shared" si="162"/>
        <v>4198.8495559215389</v>
      </c>
      <c r="G887" s="46">
        <f t="shared" si="157"/>
        <v>1.06</v>
      </c>
      <c r="H887" s="5">
        <f t="shared" si="163"/>
        <v>539.59999999999991</v>
      </c>
      <c r="I887" s="4"/>
      <c r="J887" s="4">
        <v>0.06</v>
      </c>
      <c r="K887" s="5">
        <f t="shared" si="164"/>
        <v>501.59999999999997</v>
      </c>
      <c r="L887" s="4">
        <v>38</v>
      </c>
      <c r="M887" s="7">
        <f t="shared" si="165"/>
        <v>1.0645454545454547</v>
      </c>
      <c r="N887" s="6"/>
    </row>
    <row r="888" spans="1:14" x14ac:dyDescent="0.25">
      <c r="A888" s="4">
        <v>8370</v>
      </c>
      <c r="B888" s="5">
        <f t="shared" si="158"/>
        <v>8910.2000000000007</v>
      </c>
      <c r="C888" s="5">
        <f t="shared" si="159"/>
        <v>2664.2537473583279</v>
      </c>
      <c r="D888" s="34">
        <f t="shared" si="160"/>
        <v>2676.2537473583279</v>
      </c>
      <c r="E888" s="34">
        <f t="shared" si="161"/>
        <v>8407.6991118430778</v>
      </c>
      <c r="F888" s="39">
        <f t="shared" si="162"/>
        <v>4203.8495559215389</v>
      </c>
      <c r="G888" s="46">
        <f t="shared" si="157"/>
        <v>1.06</v>
      </c>
      <c r="H888" s="5">
        <f t="shared" si="163"/>
        <v>540.20000000000005</v>
      </c>
      <c r="I888" s="4"/>
      <c r="J888" s="4">
        <v>0.06</v>
      </c>
      <c r="K888" s="5">
        <f t="shared" si="164"/>
        <v>502.2</v>
      </c>
      <c r="L888" s="4">
        <v>38</v>
      </c>
      <c r="M888" s="7">
        <f t="shared" si="165"/>
        <v>1.0645400238948628</v>
      </c>
      <c r="N888" s="6"/>
    </row>
    <row r="889" spans="1:14" x14ac:dyDescent="0.25">
      <c r="A889" s="4">
        <v>8380</v>
      </c>
      <c r="B889" s="5">
        <f t="shared" si="158"/>
        <v>8920.7999999999993</v>
      </c>
      <c r="C889" s="5">
        <f t="shared" si="159"/>
        <v>2667.436846220166</v>
      </c>
      <c r="D889" s="34">
        <f t="shared" si="160"/>
        <v>2679.436846220166</v>
      </c>
      <c r="E889" s="34">
        <f t="shared" si="161"/>
        <v>8417.6991118430778</v>
      </c>
      <c r="F889" s="39">
        <f t="shared" si="162"/>
        <v>4208.8495559215389</v>
      </c>
      <c r="G889" s="46">
        <f t="shared" si="157"/>
        <v>1.06</v>
      </c>
      <c r="H889" s="5">
        <f t="shared" si="163"/>
        <v>540.79999999999995</v>
      </c>
      <c r="I889" s="4"/>
      <c r="J889" s="4">
        <v>0.06</v>
      </c>
      <c r="K889" s="5">
        <f t="shared" si="164"/>
        <v>502.79999999999995</v>
      </c>
      <c r="L889" s="4">
        <v>38</v>
      </c>
      <c r="M889" s="7">
        <f t="shared" si="165"/>
        <v>1.0645346062052505</v>
      </c>
      <c r="N889" s="6"/>
    </row>
    <row r="890" spans="1:14" x14ac:dyDescent="0.25">
      <c r="A890" s="4">
        <v>8390</v>
      </c>
      <c r="B890" s="5">
        <f t="shared" si="158"/>
        <v>8931.4</v>
      </c>
      <c r="C890" s="5">
        <f t="shared" si="159"/>
        <v>2670.6199450820041</v>
      </c>
      <c r="D890" s="34">
        <f t="shared" si="160"/>
        <v>2682.6199450820041</v>
      </c>
      <c r="E890" s="34">
        <f t="shared" si="161"/>
        <v>8427.6991118430778</v>
      </c>
      <c r="F890" s="39">
        <f t="shared" si="162"/>
        <v>4213.8495559215389</v>
      </c>
      <c r="G890" s="46">
        <f t="shared" si="157"/>
        <v>1.06</v>
      </c>
      <c r="H890" s="5">
        <f t="shared" si="163"/>
        <v>541.4</v>
      </c>
      <c r="I890" s="4"/>
      <c r="J890" s="4">
        <v>0.06</v>
      </c>
      <c r="K890" s="5">
        <f t="shared" si="164"/>
        <v>503.4</v>
      </c>
      <c r="L890" s="4">
        <v>38</v>
      </c>
      <c r="M890" s="7">
        <f t="shared" si="165"/>
        <v>1.0645292014302741</v>
      </c>
      <c r="N890" s="6"/>
    </row>
    <row r="891" spans="1:14" x14ac:dyDescent="0.25">
      <c r="A891" s="4">
        <v>8400</v>
      </c>
      <c r="B891" s="5">
        <f t="shared" si="158"/>
        <v>8942</v>
      </c>
      <c r="C891" s="5">
        <f t="shared" si="159"/>
        <v>2673.8030439438417</v>
      </c>
      <c r="D891" s="34">
        <f t="shared" si="160"/>
        <v>2685.8030439438417</v>
      </c>
      <c r="E891" s="34">
        <f t="shared" si="161"/>
        <v>8437.6991118430778</v>
      </c>
      <c r="F891" s="39">
        <f t="shared" si="162"/>
        <v>4218.8495559215389</v>
      </c>
      <c r="G891" s="46">
        <f t="shared" si="157"/>
        <v>1.06</v>
      </c>
      <c r="H891" s="5">
        <f t="shared" si="163"/>
        <v>542</v>
      </c>
      <c r="I891" s="4"/>
      <c r="J891" s="4">
        <v>0.06</v>
      </c>
      <c r="K891" s="5">
        <f t="shared" si="164"/>
        <v>504</v>
      </c>
      <c r="L891" s="4">
        <v>38</v>
      </c>
      <c r="M891" s="7">
        <f t="shared" si="165"/>
        <v>1.0645238095238094</v>
      </c>
      <c r="N891" s="6"/>
    </row>
    <row r="892" spans="1:14" x14ac:dyDescent="0.25">
      <c r="A892" s="4">
        <v>8410</v>
      </c>
      <c r="B892" s="5">
        <f t="shared" si="158"/>
        <v>8952.6</v>
      </c>
      <c r="C892" s="5">
        <f t="shared" si="159"/>
        <v>2676.9861428056797</v>
      </c>
      <c r="D892" s="34">
        <f t="shared" si="160"/>
        <v>2688.9861428056797</v>
      </c>
      <c r="E892" s="34">
        <f t="shared" si="161"/>
        <v>8447.6991118430778</v>
      </c>
      <c r="F892" s="39">
        <f t="shared" si="162"/>
        <v>4223.8495559215389</v>
      </c>
      <c r="G892" s="46">
        <f t="shared" si="157"/>
        <v>1.06</v>
      </c>
      <c r="H892" s="5">
        <f t="shared" si="163"/>
        <v>542.59999999999991</v>
      </c>
      <c r="I892" s="4"/>
      <c r="J892" s="4">
        <v>0.06</v>
      </c>
      <c r="K892" s="5">
        <f t="shared" si="164"/>
        <v>504.59999999999997</v>
      </c>
      <c r="L892" s="4">
        <v>38</v>
      </c>
      <c r="M892" s="7">
        <f t="shared" si="165"/>
        <v>1.0645184304399524</v>
      </c>
      <c r="N892" s="6"/>
    </row>
    <row r="893" spans="1:14" x14ac:dyDescent="0.25">
      <c r="A893" s="4">
        <v>8420</v>
      </c>
      <c r="B893" s="5">
        <f t="shared" si="158"/>
        <v>8963.2000000000007</v>
      </c>
      <c r="C893" s="5">
        <f t="shared" si="159"/>
        <v>2680.1692416675178</v>
      </c>
      <c r="D893" s="34">
        <f t="shared" si="160"/>
        <v>2692.1692416675178</v>
      </c>
      <c r="E893" s="34">
        <f t="shared" si="161"/>
        <v>8457.6991118430778</v>
      </c>
      <c r="F893" s="39">
        <f t="shared" si="162"/>
        <v>4228.8495559215389</v>
      </c>
      <c r="G893" s="46">
        <f t="shared" si="157"/>
        <v>1.06</v>
      </c>
      <c r="H893" s="5">
        <f t="shared" si="163"/>
        <v>543.20000000000005</v>
      </c>
      <c r="I893" s="4"/>
      <c r="J893" s="4">
        <v>0.06</v>
      </c>
      <c r="K893" s="5">
        <f t="shared" si="164"/>
        <v>505.2</v>
      </c>
      <c r="L893" s="4">
        <v>38</v>
      </c>
      <c r="M893" s="7">
        <f t="shared" si="165"/>
        <v>1.0645130641330167</v>
      </c>
      <c r="N893" s="6"/>
    </row>
    <row r="894" spans="1:14" x14ac:dyDescent="0.25">
      <c r="A894" s="4">
        <v>8430</v>
      </c>
      <c r="B894" s="5">
        <f t="shared" si="158"/>
        <v>8973.7999999999993</v>
      </c>
      <c r="C894" s="5">
        <f t="shared" si="159"/>
        <v>2683.3523405293554</v>
      </c>
      <c r="D894" s="34">
        <f t="shared" si="160"/>
        <v>2695.3523405293554</v>
      </c>
      <c r="E894" s="34">
        <f t="shared" si="161"/>
        <v>8467.6991118430778</v>
      </c>
      <c r="F894" s="39">
        <f t="shared" si="162"/>
        <v>4233.8495559215389</v>
      </c>
      <c r="G894" s="46">
        <f t="shared" si="157"/>
        <v>1.06</v>
      </c>
      <c r="H894" s="5">
        <f t="shared" si="163"/>
        <v>543.79999999999995</v>
      </c>
      <c r="I894" s="4"/>
      <c r="J894" s="4">
        <v>0.06</v>
      </c>
      <c r="K894" s="5">
        <f t="shared" si="164"/>
        <v>505.79999999999995</v>
      </c>
      <c r="L894" s="4">
        <v>38</v>
      </c>
      <c r="M894" s="7">
        <f t="shared" si="165"/>
        <v>1.0645077105575325</v>
      </c>
      <c r="N894" s="6"/>
    </row>
    <row r="895" spans="1:14" x14ac:dyDescent="0.25">
      <c r="A895" s="4">
        <v>8440</v>
      </c>
      <c r="B895" s="5">
        <f t="shared" si="158"/>
        <v>8984.4</v>
      </c>
      <c r="C895" s="5">
        <f t="shared" si="159"/>
        <v>2686.5354393911934</v>
      </c>
      <c r="D895" s="34">
        <f t="shared" si="160"/>
        <v>2698.5354393911934</v>
      </c>
      <c r="E895" s="34">
        <f t="shared" si="161"/>
        <v>8477.6991118430778</v>
      </c>
      <c r="F895" s="39">
        <f t="shared" si="162"/>
        <v>4238.8495559215389</v>
      </c>
      <c r="G895" s="46">
        <f t="shared" si="157"/>
        <v>1.06</v>
      </c>
      <c r="H895" s="5">
        <f t="shared" si="163"/>
        <v>544.4</v>
      </c>
      <c r="I895" s="4"/>
      <c r="J895" s="4">
        <v>0.06</v>
      </c>
      <c r="K895" s="5">
        <f t="shared" si="164"/>
        <v>506.4</v>
      </c>
      <c r="L895" s="4">
        <v>38</v>
      </c>
      <c r="M895" s="7">
        <f t="shared" si="165"/>
        <v>1.0645023696682463</v>
      </c>
      <c r="N895" s="6"/>
    </row>
    <row r="896" spans="1:14" x14ac:dyDescent="0.25">
      <c r="A896" s="4">
        <v>8450</v>
      </c>
      <c r="B896" s="5">
        <f t="shared" si="158"/>
        <v>8995</v>
      </c>
      <c r="C896" s="5">
        <f t="shared" si="159"/>
        <v>2689.7185382530311</v>
      </c>
      <c r="D896" s="34">
        <f t="shared" si="160"/>
        <v>2701.7185382530311</v>
      </c>
      <c r="E896" s="34">
        <f t="shared" si="161"/>
        <v>8487.699111843076</v>
      </c>
      <c r="F896" s="39">
        <f t="shared" si="162"/>
        <v>4243.849555921538</v>
      </c>
      <c r="G896" s="46">
        <f t="shared" si="157"/>
        <v>1.06</v>
      </c>
      <c r="H896" s="5">
        <f t="shared" si="163"/>
        <v>545</v>
      </c>
      <c r="I896" s="4"/>
      <c r="J896" s="4">
        <v>0.06</v>
      </c>
      <c r="K896" s="5">
        <f t="shared" si="164"/>
        <v>507</v>
      </c>
      <c r="L896" s="4">
        <v>38</v>
      </c>
      <c r="M896" s="7">
        <f t="shared" si="165"/>
        <v>1.0644970414201183</v>
      </c>
      <c r="N896" s="6"/>
    </row>
    <row r="897" spans="1:14" x14ac:dyDescent="0.25">
      <c r="A897" s="4">
        <v>8460</v>
      </c>
      <c r="B897" s="5">
        <f t="shared" si="158"/>
        <v>9005.6</v>
      </c>
      <c r="C897" s="5">
        <f t="shared" si="159"/>
        <v>2692.9016371148691</v>
      </c>
      <c r="D897" s="34">
        <f t="shared" si="160"/>
        <v>2704.9016371148691</v>
      </c>
      <c r="E897" s="34">
        <f t="shared" si="161"/>
        <v>8497.6991118430778</v>
      </c>
      <c r="F897" s="39">
        <f t="shared" si="162"/>
        <v>4248.8495559215389</v>
      </c>
      <c r="G897" s="46">
        <f t="shared" si="157"/>
        <v>1.06</v>
      </c>
      <c r="H897" s="5">
        <f t="shared" si="163"/>
        <v>545.59999999999991</v>
      </c>
      <c r="I897" s="4"/>
      <c r="J897" s="4">
        <v>0.06</v>
      </c>
      <c r="K897" s="5">
        <f t="shared" si="164"/>
        <v>507.59999999999997</v>
      </c>
      <c r="L897" s="4">
        <v>38</v>
      </c>
      <c r="M897" s="7">
        <f t="shared" si="165"/>
        <v>1.0644917257683215</v>
      </c>
      <c r="N897" s="6"/>
    </row>
    <row r="898" spans="1:14" x14ac:dyDescent="0.25">
      <c r="A898" s="4">
        <v>8470</v>
      </c>
      <c r="B898" s="5">
        <f t="shared" si="158"/>
        <v>9016.2000000000007</v>
      </c>
      <c r="C898" s="5">
        <f t="shared" si="159"/>
        <v>2696.0847359767072</v>
      </c>
      <c r="D898" s="34">
        <f t="shared" si="160"/>
        <v>2708.0847359767072</v>
      </c>
      <c r="E898" s="34">
        <f t="shared" si="161"/>
        <v>8507.6991118430778</v>
      </c>
      <c r="F898" s="39">
        <f t="shared" si="162"/>
        <v>4253.8495559215389</v>
      </c>
      <c r="G898" s="46">
        <f t="shared" si="157"/>
        <v>1.06</v>
      </c>
      <c r="H898" s="5">
        <f t="shared" si="163"/>
        <v>546.20000000000005</v>
      </c>
      <c r="I898" s="4"/>
      <c r="J898" s="4">
        <v>0.06</v>
      </c>
      <c r="K898" s="5">
        <f t="shared" si="164"/>
        <v>508.2</v>
      </c>
      <c r="L898" s="4">
        <v>38</v>
      </c>
      <c r="M898" s="7">
        <f t="shared" si="165"/>
        <v>1.0644864226682409</v>
      </c>
      <c r="N898" s="6"/>
    </row>
    <row r="899" spans="1:14" x14ac:dyDescent="0.25">
      <c r="A899" s="4">
        <v>8480</v>
      </c>
      <c r="B899" s="5">
        <f t="shared" si="158"/>
        <v>9026.7999999999993</v>
      </c>
      <c r="C899" s="5">
        <f t="shared" si="159"/>
        <v>2699.2678348385448</v>
      </c>
      <c r="D899" s="34">
        <f t="shared" si="160"/>
        <v>2711.2678348385448</v>
      </c>
      <c r="E899" s="34">
        <f t="shared" si="161"/>
        <v>8517.699111843076</v>
      </c>
      <c r="F899" s="39">
        <f t="shared" si="162"/>
        <v>4258.849555921538</v>
      </c>
      <c r="G899" s="46">
        <f t="shared" si="157"/>
        <v>1.06</v>
      </c>
      <c r="H899" s="5">
        <f t="shared" si="163"/>
        <v>546.79999999999995</v>
      </c>
      <c r="I899" s="4"/>
      <c r="J899" s="4">
        <v>0.06</v>
      </c>
      <c r="K899" s="5">
        <f t="shared" si="164"/>
        <v>508.79999999999995</v>
      </c>
      <c r="L899" s="4">
        <v>38</v>
      </c>
      <c r="M899" s="7">
        <f t="shared" si="165"/>
        <v>1.0644811320754717</v>
      </c>
      <c r="N899" s="6"/>
    </row>
    <row r="900" spans="1:14" x14ac:dyDescent="0.25">
      <c r="A900" s="4">
        <v>8490</v>
      </c>
      <c r="B900" s="5">
        <f t="shared" si="158"/>
        <v>9037.4</v>
      </c>
      <c r="C900" s="5">
        <f t="shared" si="159"/>
        <v>2702.4509337003828</v>
      </c>
      <c r="D900" s="34">
        <f t="shared" si="160"/>
        <v>2714.4509337003828</v>
      </c>
      <c r="E900" s="34">
        <f t="shared" si="161"/>
        <v>8527.6991118430778</v>
      </c>
      <c r="F900" s="39">
        <f t="shared" si="162"/>
        <v>4263.8495559215389</v>
      </c>
      <c r="G900" s="46">
        <f t="shared" si="157"/>
        <v>1.06</v>
      </c>
      <c r="H900" s="5">
        <f t="shared" si="163"/>
        <v>547.4</v>
      </c>
      <c r="I900" s="4"/>
      <c r="J900" s="4">
        <v>0.06</v>
      </c>
      <c r="K900" s="5">
        <f t="shared" si="164"/>
        <v>509.4</v>
      </c>
      <c r="L900" s="4">
        <v>38</v>
      </c>
      <c r="M900" s="7">
        <f t="shared" si="165"/>
        <v>1.0644758539458186</v>
      </c>
      <c r="N900" s="6"/>
    </row>
    <row r="901" spans="1:14" x14ac:dyDescent="0.25">
      <c r="A901" s="4">
        <v>8500</v>
      </c>
      <c r="B901" s="5">
        <f t="shared" si="158"/>
        <v>9048</v>
      </c>
      <c r="C901" s="5">
        <f t="shared" si="159"/>
        <v>2705.6340325622209</v>
      </c>
      <c r="D901" s="34">
        <f t="shared" si="160"/>
        <v>2717.6340325622209</v>
      </c>
      <c r="E901" s="34">
        <f t="shared" si="161"/>
        <v>8537.6991118430778</v>
      </c>
      <c r="F901" s="39">
        <f t="shared" si="162"/>
        <v>4268.8495559215389</v>
      </c>
      <c r="G901" s="46">
        <f t="shared" si="157"/>
        <v>1.06</v>
      </c>
      <c r="H901" s="5">
        <f t="shared" si="163"/>
        <v>548</v>
      </c>
      <c r="I901" s="4"/>
      <c r="J901" s="4">
        <v>0.06</v>
      </c>
      <c r="K901" s="5">
        <f t="shared" si="164"/>
        <v>510</v>
      </c>
      <c r="L901" s="4">
        <v>38</v>
      </c>
      <c r="M901" s="7">
        <f t="shared" si="165"/>
        <v>1.0644705882352941</v>
      </c>
      <c r="N901" s="6"/>
    </row>
    <row r="902" spans="1:14" x14ac:dyDescent="0.25">
      <c r="A902" s="4">
        <v>8510</v>
      </c>
      <c r="B902" s="5">
        <f t="shared" si="158"/>
        <v>9058.6</v>
      </c>
      <c r="C902" s="5">
        <f t="shared" si="159"/>
        <v>2708.8171314240585</v>
      </c>
      <c r="D902" s="34">
        <f t="shared" si="160"/>
        <v>2720.8171314240585</v>
      </c>
      <c r="E902" s="34">
        <f t="shared" si="161"/>
        <v>8547.699111843076</v>
      </c>
      <c r="F902" s="39">
        <f t="shared" si="162"/>
        <v>4273.849555921538</v>
      </c>
      <c r="G902" s="46">
        <f t="shared" ref="G902:G944" si="166">ROUNDUP(B902/E902,2)</f>
        <v>1.06</v>
      </c>
      <c r="H902" s="5">
        <f t="shared" si="163"/>
        <v>548.59999999999991</v>
      </c>
      <c r="I902" s="4"/>
      <c r="J902" s="4">
        <v>0.06</v>
      </c>
      <c r="K902" s="5">
        <f t="shared" si="164"/>
        <v>510.59999999999997</v>
      </c>
      <c r="L902" s="4">
        <v>38</v>
      </c>
      <c r="M902" s="7">
        <f t="shared" si="165"/>
        <v>1.0644653349001176</v>
      </c>
      <c r="N902" s="6"/>
    </row>
    <row r="903" spans="1:14" x14ac:dyDescent="0.25">
      <c r="A903" s="4">
        <v>8520</v>
      </c>
      <c r="B903" s="5">
        <f t="shared" si="158"/>
        <v>9069.2000000000007</v>
      </c>
      <c r="C903" s="5">
        <f t="shared" si="159"/>
        <v>2712.0002302858966</v>
      </c>
      <c r="D903" s="34">
        <f t="shared" si="160"/>
        <v>2724.0002302858966</v>
      </c>
      <c r="E903" s="34">
        <f t="shared" si="161"/>
        <v>8557.6991118430778</v>
      </c>
      <c r="F903" s="39">
        <f t="shared" si="162"/>
        <v>4278.8495559215389</v>
      </c>
      <c r="G903" s="46">
        <f t="shared" si="166"/>
        <v>1.06</v>
      </c>
      <c r="H903" s="5">
        <f t="shared" si="163"/>
        <v>549.20000000000005</v>
      </c>
      <c r="I903" s="4"/>
      <c r="J903" s="4">
        <v>0.06</v>
      </c>
      <c r="K903" s="5">
        <f t="shared" si="164"/>
        <v>511.2</v>
      </c>
      <c r="L903" s="4">
        <v>38</v>
      </c>
      <c r="M903" s="7">
        <f t="shared" si="165"/>
        <v>1.0644600938967137</v>
      </c>
      <c r="N903" s="6"/>
    </row>
    <row r="904" spans="1:14" x14ac:dyDescent="0.25">
      <c r="A904" s="4">
        <v>8530</v>
      </c>
      <c r="B904" s="5">
        <f t="shared" si="158"/>
        <v>9079.7999999999993</v>
      </c>
      <c r="C904" s="5">
        <f t="shared" si="159"/>
        <v>2715.1833291477346</v>
      </c>
      <c r="D904" s="34">
        <f t="shared" si="160"/>
        <v>2727.1833291477346</v>
      </c>
      <c r="E904" s="34">
        <f t="shared" si="161"/>
        <v>8567.6991118430778</v>
      </c>
      <c r="F904" s="39">
        <f t="shared" si="162"/>
        <v>4283.8495559215389</v>
      </c>
      <c r="G904" s="46">
        <f t="shared" si="166"/>
        <v>1.06</v>
      </c>
      <c r="H904" s="5">
        <f t="shared" si="163"/>
        <v>549.79999999999995</v>
      </c>
      <c r="I904" s="4"/>
      <c r="J904" s="4">
        <v>0.06</v>
      </c>
      <c r="K904" s="5">
        <f t="shared" si="164"/>
        <v>511.79999999999995</v>
      </c>
      <c r="L904" s="4">
        <v>38</v>
      </c>
      <c r="M904" s="7">
        <f t="shared" si="165"/>
        <v>1.0644548651817116</v>
      </c>
      <c r="N904" s="6"/>
    </row>
    <row r="905" spans="1:14" x14ac:dyDescent="0.25">
      <c r="A905" s="4">
        <v>8540</v>
      </c>
      <c r="B905" s="5">
        <f t="shared" si="158"/>
        <v>9090.4</v>
      </c>
      <c r="C905" s="5">
        <f t="shared" si="159"/>
        <v>2718.3664280095722</v>
      </c>
      <c r="D905" s="34">
        <f t="shared" si="160"/>
        <v>2730.3664280095722</v>
      </c>
      <c r="E905" s="34">
        <f t="shared" si="161"/>
        <v>8577.699111843076</v>
      </c>
      <c r="F905" s="39">
        <f t="shared" si="162"/>
        <v>4288.849555921538</v>
      </c>
      <c r="G905" s="46">
        <f t="shared" si="166"/>
        <v>1.06</v>
      </c>
      <c r="H905" s="5">
        <f t="shared" si="163"/>
        <v>550.4</v>
      </c>
      <c r="I905" s="4"/>
      <c r="J905" s="4">
        <v>0.06</v>
      </c>
      <c r="K905" s="5">
        <f t="shared" si="164"/>
        <v>512.4</v>
      </c>
      <c r="L905" s="4">
        <v>38</v>
      </c>
      <c r="M905" s="7">
        <f t="shared" si="165"/>
        <v>1.0644496487119437</v>
      </c>
      <c r="N905" s="6"/>
    </row>
    <row r="906" spans="1:14" x14ac:dyDescent="0.25">
      <c r="A906" s="4">
        <v>8550</v>
      </c>
      <c r="B906" s="5">
        <f t="shared" si="158"/>
        <v>9101</v>
      </c>
      <c r="C906" s="5">
        <f t="shared" si="159"/>
        <v>2721.5495268714103</v>
      </c>
      <c r="D906" s="34">
        <f t="shared" si="160"/>
        <v>2733.5495268714103</v>
      </c>
      <c r="E906" s="34">
        <f t="shared" si="161"/>
        <v>8587.6991118430778</v>
      </c>
      <c r="F906" s="39">
        <f t="shared" si="162"/>
        <v>4293.8495559215389</v>
      </c>
      <c r="G906" s="46">
        <f t="shared" si="166"/>
        <v>1.06</v>
      </c>
      <c r="H906" s="5">
        <f t="shared" si="163"/>
        <v>551</v>
      </c>
      <c r="I906" s="4"/>
      <c r="J906" s="4">
        <v>0.06</v>
      </c>
      <c r="K906" s="5">
        <f t="shared" si="164"/>
        <v>513</v>
      </c>
      <c r="L906" s="4">
        <v>38</v>
      </c>
      <c r="M906" s="7">
        <f t="shared" si="165"/>
        <v>1.0644444444444445</v>
      </c>
      <c r="N906" s="6"/>
    </row>
    <row r="907" spans="1:14" x14ac:dyDescent="0.25">
      <c r="A907" s="4">
        <v>8560</v>
      </c>
      <c r="B907" s="5">
        <f t="shared" si="158"/>
        <v>9111.6</v>
      </c>
      <c r="C907" s="5">
        <f t="shared" si="159"/>
        <v>2724.7326257332484</v>
      </c>
      <c r="D907" s="34">
        <f t="shared" si="160"/>
        <v>2736.7326257332484</v>
      </c>
      <c r="E907" s="34">
        <f t="shared" si="161"/>
        <v>8597.6991118430778</v>
      </c>
      <c r="F907" s="39">
        <f t="shared" si="162"/>
        <v>4298.8495559215389</v>
      </c>
      <c r="G907" s="46">
        <f t="shared" si="166"/>
        <v>1.06</v>
      </c>
      <c r="H907" s="5">
        <f t="shared" si="163"/>
        <v>551.6</v>
      </c>
      <c r="I907" s="4"/>
      <c r="J907" s="4">
        <v>0.06</v>
      </c>
      <c r="K907" s="5">
        <f t="shared" si="164"/>
        <v>513.6</v>
      </c>
      <c r="L907" s="4">
        <v>38</v>
      </c>
      <c r="M907" s="7">
        <f t="shared" si="165"/>
        <v>1.0644392523364485</v>
      </c>
      <c r="N907" s="6"/>
    </row>
    <row r="908" spans="1:14" x14ac:dyDescent="0.25">
      <c r="A908" s="4">
        <v>8570</v>
      </c>
      <c r="B908" s="5">
        <f t="shared" si="158"/>
        <v>9122.2000000000007</v>
      </c>
      <c r="C908" s="5">
        <f t="shared" si="159"/>
        <v>2727.915724595086</v>
      </c>
      <c r="D908" s="34">
        <f t="shared" si="160"/>
        <v>2739.915724595086</v>
      </c>
      <c r="E908" s="34">
        <f t="shared" si="161"/>
        <v>8607.6991118430778</v>
      </c>
      <c r="F908" s="39">
        <f t="shared" si="162"/>
        <v>4303.8495559215389</v>
      </c>
      <c r="G908" s="46">
        <f t="shared" si="166"/>
        <v>1.06</v>
      </c>
      <c r="H908" s="5">
        <f t="shared" si="163"/>
        <v>552.19999999999993</v>
      </c>
      <c r="I908" s="4"/>
      <c r="J908" s="4">
        <v>0.06</v>
      </c>
      <c r="K908" s="5">
        <f t="shared" si="164"/>
        <v>514.19999999999993</v>
      </c>
      <c r="L908" s="4">
        <v>38</v>
      </c>
      <c r="M908" s="7">
        <f t="shared" si="165"/>
        <v>1.0644340723453909</v>
      </c>
      <c r="N908" s="6"/>
    </row>
    <row r="909" spans="1:14" x14ac:dyDescent="0.25">
      <c r="A909" s="4">
        <v>8580</v>
      </c>
      <c r="B909" s="5">
        <f t="shared" si="158"/>
        <v>9132.7999999999993</v>
      </c>
      <c r="C909" s="5">
        <f t="shared" si="159"/>
        <v>2731.098823456924</v>
      </c>
      <c r="D909" s="34">
        <f t="shared" si="160"/>
        <v>2743.098823456924</v>
      </c>
      <c r="E909" s="34">
        <f t="shared" si="161"/>
        <v>8617.6991118430778</v>
      </c>
      <c r="F909" s="39">
        <f t="shared" si="162"/>
        <v>4308.8495559215389</v>
      </c>
      <c r="G909" s="46">
        <f t="shared" si="166"/>
        <v>1.06</v>
      </c>
      <c r="H909" s="5">
        <f t="shared" si="163"/>
        <v>552.79999999999995</v>
      </c>
      <c r="I909" s="4"/>
      <c r="J909" s="4">
        <v>0.06</v>
      </c>
      <c r="K909" s="5">
        <f t="shared" si="164"/>
        <v>514.79999999999995</v>
      </c>
      <c r="L909" s="4">
        <v>38</v>
      </c>
      <c r="M909" s="7">
        <f t="shared" si="165"/>
        <v>1.0644289044289044</v>
      </c>
      <c r="N909" s="6"/>
    </row>
    <row r="910" spans="1:14" x14ac:dyDescent="0.25">
      <c r="A910" s="4">
        <v>8590</v>
      </c>
      <c r="B910" s="5">
        <f t="shared" si="158"/>
        <v>9143.4</v>
      </c>
      <c r="C910" s="5">
        <f t="shared" si="159"/>
        <v>2734.2819223187621</v>
      </c>
      <c r="D910" s="34">
        <f t="shared" si="160"/>
        <v>2746.2819223187621</v>
      </c>
      <c r="E910" s="34">
        <f t="shared" si="161"/>
        <v>8627.6991118430778</v>
      </c>
      <c r="F910" s="39">
        <f t="shared" si="162"/>
        <v>4313.8495559215389</v>
      </c>
      <c r="G910" s="46">
        <f t="shared" si="166"/>
        <v>1.06</v>
      </c>
      <c r="H910" s="5">
        <f t="shared" si="163"/>
        <v>553.4</v>
      </c>
      <c r="I910" s="4"/>
      <c r="J910" s="4">
        <v>0.06</v>
      </c>
      <c r="K910" s="5">
        <f t="shared" si="164"/>
        <v>515.4</v>
      </c>
      <c r="L910" s="4">
        <v>38</v>
      </c>
      <c r="M910" s="7">
        <f t="shared" si="165"/>
        <v>1.0644237485448196</v>
      </c>
      <c r="N910" s="6"/>
    </row>
    <row r="911" spans="1:14" x14ac:dyDescent="0.25">
      <c r="A911" s="4">
        <v>8600</v>
      </c>
      <c r="B911" s="5">
        <f t="shared" si="158"/>
        <v>9154</v>
      </c>
      <c r="C911" s="5">
        <f t="shared" si="159"/>
        <v>2737.4650211805997</v>
      </c>
      <c r="D911" s="34">
        <f t="shared" si="160"/>
        <v>2749.4650211805997</v>
      </c>
      <c r="E911" s="34">
        <f t="shared" si="161"/>
        <v>8637.6991118430778</v>
      </c>
      <c r="F911" s="39">
        <f t="shared" si="162"/>
        <v>4318.8495559215389</v>
      </c>
      <c r="G911" s="46">
        <f t="shared" si="166"/>
        <v>1.06</v>
      </c>
      <c r="H911" s="5">
        <f t="shared" si="163"/>
        <v>554</v>
      </c>
      <c r="I911" s="4"/>
      <c r="J911" s="4">
        <v>0.06</v>
      </c>
      <c r="K911" s="5">
        <f t="shared" si="164"/>
        <v>516</v>
      </c>
      <c r="L911" s="4">
        <v>38</v>
      </c>
      <c r="M911" s="7">
        <f t="shared" si="165"/>
        <v>1.0644186046511628</v>
      </c>
      <c r="N911" s="6"/>
    </row>
    <row r="912" spans="1:14" x14ac:dyDescent="0.25">
      <c r="A912" s="4">
        <v>8610</v>
      </c>
      <c r="B912" s="5">
        <f t="shared" si="158"/>
        <v>9164.6</v>
      </c>
      <c r="C912" s="5">
        <f t="shared" si="159"/>
        <v>2740.6481200424378</v>
      </c>
      <c r="D912" s="34">
        <f t="shared" si="160"/>
        <v>2752.6481200424378</v>
      </c>
      <c r="E912" s="34">
        <f t="shared" si="161"/>
        <v>8647.6991118430778</v>
      </c>
      <c r="F912" s="39">
        <f t="shared" si="162"/>
        <v>4323.8495559215389</v>
      </c>
      <c r="G912" s="46">
        <f t="shared" si="166"/>
        <v>1.06</v>
      </c>
      <c r="H912" s="5">
        <f t="shared" si="163"/>
        <v>554.6</v>
      </c>
      <c r="I912" s="4"/>
      <c r="J912" s="4">
        <v>0.06</v>
      </c>
      <c r="K912" s="5">
        <f t="shared" si="164"/>
        <v>516.6</v>
      </c>
      <c r="L912" s="4">
        <v>38</v>
      </c>
      <c r="M912" s="7">
        <f t="shared" si="165"/>
        <v>1.0644134727061556</v>
      </c>
      <c r="N912" s="6"/>
    </row>
    <row r="913" spans="1:14" x14ac:dyDescent="0.25">
      <c r="A913" s="4">
        <v>8620</v>
      </c>
      <c r="B913" s="5">
        <f t="shared" si="158"/>
        <v>9175.2000000000007</v>
      </c>
      <c r="C913" s="5">
        <f t="shared" si="159"/>
        <v>2743.8312189042758</v>
      </c>
      <c r="D913" s="34">
        <f t="shared" si="160"/>
        <v>2755.8312189042758</v>
      </c>
      <c r="E913" s="34">
        <f t="shared" si="161"/>
        <v>8657.6991118430778</v>
      </c>
      <c r="F913" s="39">
        <f t="shared" si="162"/>
        <v>4328.8495559215389</v>
      </c>
      <c r="G913" s="46">
        <f t="shared" si="166"/>
        <v>1.06</v>
      </c>
      <c r="H913" s="5">
        <f t="shared" si="163"/>
        <v>555.19999999999993</v>
      </c>
      <c r="I913" s="4"/>
      <c r="J913" s="4">
        <v>0.06</v>
      </c>
      <c r="K913" s="5">
        <f t="shared" si="164"/>
        <v>517.19999999999993</v>
      </c>
      <c r="L913" s="4">
        <v>38</v>
      </c>
      <c r="M913" s="7">
        <f t="shared" si="165"/>
        <v>1.0644083526682135</v>
      </c>
      <c r="N913" s="6"/>
    </row>
    <row r="914" spans="1:14" x14ac:dyDescent="0.25">
      <c r="A914" s="4">
        <v>8630</v>
      </c>
      <c r="B914" s="5">
        <f t="shared" si="158"/>
        <v>9185.7999999999993</v>
      </c>
      <c r="C914" s="5">
        <f t="shared" si="159"/>
        <v>2747.0143177661134</v>
      </c>
      <c r="D914" s="34">
        <f t="shared" si="160"/>
        <v>2759.0143177661134</v>
      </c>
      <c r="E914" s="34">
        <f t="shared" si="161"/>
        <v>8667.6991118430778</v>
      </c>
      <c r="F914" s="39">
        <f t="shared" si="162"/>
        <v>4333.8495559215389</v>
      </c>
      <c r="G914" s="46">
        <f t="shared" si="166"/>
        <v>1.06</v>
      </c>
      <c r="H914" s="5">
        <f t="shared" si="163"/>
        <v>555.79999999999995</v>
      </c>
      <c r="I914" s="4"/>
      <c r="J914" s="4">
        <v>0.06</v>
      </c>
      <c r="K914" s="5">
        <f t="shared" si="164"/>
        <v>517.79999999999995</v>
      </c>
      <c r="L914" s="4">
        <v>38</v>
      </c>
      <c r="M914" s="7">
        <f t="shared" si="165"/>
        <v>1.0644032444959444</v>
      </c>
      <c r="N914" s="6"/>
    </row>
    <row r="915" spans="1:14" x14ac:dyDescent="0.25">
      <c r="A915" s="4">
        <v>8640</v>
      </c>
      <c r="B915" s="5">
        <f t="shared" si="158"/>
        <v>9196.4</v>
      </c>
      <c r="C915" s="5">
        <f t="shared" si="159"/>
        <v>2750.1974166279515</v>
      </c>
      <c r="D915" s="34">
        <f t="shared" si="160"/>
        <v>2762.1974166279515</v>
      </c>
      <c r="E915" s="34">
        <f t="shared" si="161"/>
        <v>8677.6991118430778</v>
      </c>
      <c r="F915" s="39">
        <f t="shared" si="162"/>
        <v>4338.8495559215389</v>
      </c>
      <c r="G915" s="46">
        <f t="shared" si="166"/>
        <v>1.06</v>
      </c>
      <c r="H915" s="5">
        <f t="shared" si="163"/>
        <v>556.4</v>
      </c>
      <c r="I915" s="4"/>
      <c r="J915" s="4">
        <v>0.06</v>
      </c>
      <c r="K915" s="5">
        <f t="shared" si="164"/>
        <v>518.4</v>
      </c>
      <c r="L915" s="4">
        <v>38</v>
      </c>
      <c r="M915" s="7">
        <f t="shared" si="165"/>
        <v>1.0643981481481481</v>
      </c>
      <c r="N915" s="6"/>
    </row>
    <row r="916" spans="1:14" x14ac:dyDescent="0.25">
      <c r="A916" s="4">
        <v>8650</v>
      </c>
      <c r="B916" s="5">
        <f t="shared" si="158"/>
        <v>9207</v>
      </c>
      <c r="C916" s="5">
        <f t="shared" si="159"/>
        <v>2753.3805154897896</v>
      </c>
      <c r="D916" s="34">
        <f t="shared" si="160"/>
        <v>2765.3805154897896</v>
      </c>
      <c r="E916" s="34">
        <f t="shared" si="161"/>
        <v>8687.6991118430778</v>
      </c>
      <c r="F916" s="39">
        <f t="shared" si="162"/>
        <v>4343.8495559215389</v>
      </c>
      <c r="G916" s="46">
        <f t="shared" si="166"/>
        <v>1.06</v>
      </c>
      <c r="H916" s="5">
        <f t="shared" si="163"/>
        <v>557</v>
      </c>
      <c r="I916" s="4"/>
      <c r="J916" s="4">
        <v>0.06</v>
      </c>
      <c r="K916" s="5">
        <f t="shared" si="164"/>
        <v>519</v>
      </c>
      <c r="L916" s="4">
        <v>38</v>
      </c>
      <c r="M916" s="7">
        <f t="shared" si="165"/>
        <v>1.064393063583815</v>
      </c>
      <c r="N916" s="6"/>
    </row>
    <row r="917" spans="1:14" x14ac:dyDescent="0.25">
      <c r="A917" s="4">
        <v>8660</v>
      </c>
      <c r="B917" s="5">
        <f t="shared" si="158"/>
        <v>9217.6</v>
      </c>
      <c r="C917" s="5">
        <f t="shared" si="159"/>
        <v>2756.5636143516272</v>
      </c>
      <c r="D917" s="34">
        <f t="shared" si="160"/>
        <v>2768.5636143516272</v>
      </c>
      <c r="E917" s="34">
        <f t="shared" si="161"/>
        <v>8697.6991118430778</v>
      </c>
      <c r="F917" s="39">
        <f t="shared" si="162"/>
        <v>4348.8495559215389</v>
      </c>
      <c r="G917" s="46">
        <f t="shared" si="166"/>
        <v>1.06</v>
      </c>
      <c r="H917" s="5">
        <f t="shared" si="163"/>
        <v>557.6</v>
      </c>
      <c r="I917" s="4"/>
      <c r="J917" s="4">
        <v>0.06</v>
      </c>
      <c r="K917" s="5">
        <f t="shared" si="164"/>
        <v>519.6</v>
      </c>
      <c r="L917" s="4">
        <v>38</v>
      </c>
      <c r="M917" s="7">
        <f t="shared" si="165"/>
        <v>1.0643879907621248</v>
      </c>
      <c r="N917" s="6"/>
    </row>
    <row r="918" spans="1:14" x14ac:dyDescent="0.25">
      <c r="A918" s="4">
        <v>8670</v>
      </c>
      <c r="B918" s="5">
        <f t="shared" si="158"/>
        <v>9228.2000000000007</v>
      </c>
      <c r="C918" s="5">
        <f t="shared" si="159"/>
        <v>2759.7467132134652</v>
      </c>
      <c r="D918" s="34">
        <f t="shared" si="160"/>
        <v>2771.7467132134652</v>
      </c>
      <c r="E918" s="34">
        <f t="shared" si="161"/>
        <v>8707.6991118430778</v>
      </c>
      <c r="F918" s="39">
        <f t="shared" si="162"/>
        <v>4353.8495559215389</v>
      </c>
      <c r="G918" s="46">
        <f t="shared" si="166"/>
        <v>1.06</v>
      </c>
      <c r="H918" s="5">
        <f t="shared" si="163"/>
        <v>558.19999999999993</v>
      </c>
      <c r="I918" s="4"/>
      <c r="J918" s="4">
        <v>0.06</v>
      </c>
      <c r="K918" s="5">
        <f t="shared" si="164"/>
        <v>520.19999999999993</v>
      </c>
      <c r="L918" s="4">
        <v>38</v>
      </c>
      <c r="M918" s="7">
        <f t="shared" si="165"/>
        <v>1.0643829296424454</v>
      </c>
      <c r="N918" s="6"/>
    </row>
    <row r="919" spans="1:14" x14ac:dyDescent="0.25">
      <c r="A919" s="4">
        <v>8680</v>
      </c>
      <c r="B919" s="5">
        <f t="shared" si="158"/>
        <v>9238.7999999999993</v>
      </c>
      <c r="C919" s="5">
        <f t="shared" si="159"/>
        <v>2762.9298120753033</v>
      </c>
      <c r="D919" s="34">
        <f t="shared" si="160"/>
        <v>2774.9298120753033</v>
      </c>
      <c r="E919" s="34">
        <f t="shared" si="161"/>
        <v>8717.6991118430778</v>
      </c>
      <c r="F919" s="39">
        <f t="shared" si="162"/>
        <v>4358.8495559215389</v>
      </c>
      <c r="G919" s="46">
        <f t="shared" si="166"/>
        <v>1.06</v>
      </c>
      <c r="H919" s="5">
        <f t="shared" si="163"/>
        <v>558.79999999999995</v>
      </c>
      <c r="I919" s="4"/>
      <c r="J919" s="4">
        <v>0.06</v>
      </c>
      <c r="K919" s="5">
        <f t="shared" si="164"/>
        <v>520.79999999999995</v>
      </c>
      <c r="L919" s="4">
        <v>38</v>
      </c>
      <c r="M919" s="7">
        <f t="shared" si="165"/>
        <v>1.0643778801843318</v>
      </c>
      <c r="N919" s="6"/>
    </row>
    <row r="920" spans="1:14" x14ac:dyDescent="0.25">
      <c r="A920" s="4">
        <v>8690</v>
      </c>
      <c r="B920" s="5">
        <f t="shared" si="158"/>
        <v>9249.4</v>
      </c>
      <c r="C920" s="5">
        <f t="shared" si="159"/>
        <v>2766.1129109371409</v>
      </c>
      <c r="D920" s="34">
        <f t="shared" si="160"/>
        <v>2778.1129109371409</v>
      </c>
      <c r="E920" s="34">
        <f t="shared" si="161"/>
        <v>8727.6991118430778</v>
      </c>
      <c r="F920" s="39">
        <f t="shared" si="162"/>
        <v>4363.8495559215389</v>
      </c>
      <c r="G920" s="46">
        <f t="shared" si="166"/>
        <v>1.06</v>
      </c>
      <c r="H920" s="5">
        <f t="shared" si="163"/>
        <v>559.4</v>
      </c>
      <c r="I920" s="4"/>
      <c r="J920" s="4">
        <v>0.06</v>
      </c>
      <c r="K920" s="5">
        <f t="shared" si="164"/>
        <v>521.4</v>
      </c>
      <c r="L920" s="4">
        <v>38</v>
      </c>
      <c r="M920" s="7">
        <f t="shared" si="165"/>
        <v>1.0643728423475258</v>
      </c>
      <c r="N920" s="6"/>
    </row>
    <row r="921" spans="1:14" x14ac:dyDescent="0.25">
      <c r="A921" s="4">
        <v>8700</v>
      </c>
      <c r="B921" s="5">
        <f t="shared" si="158"/>
        <v>9260</v>
      </c>
      <c r="C921" s="5">
        <f t="shared" si="159"/>
        <v>2769.296009798979</v>
      </c>
      <c r="D921" s="34">
        <f t="shared" si="160"/>
        <v>2781.296009798979</v>
      </c>
      <c r="E921" s="34">
        <f t="shared" si="161"/>
        <v>8737.6991118430778</v>
      </c>
      <c r="F921" s="39">
        <f t="shared" si="162"/>
        <v>4368.8495559215389</v>
      </c>
      <c r="G921" s="46">
        <f t="shared" si="166"/>
        <v>1.06</v>
      </c>
      <c r="H921" s="5">
        <f t="shared" si="163"/>
        <v>560</v>
      </c>
      <c r="I921" s="4"/>
      <c r="J921" s="4">
        <v>0.06</v>
      </c>
      <c r="K921" s="5">
        <f t="shared" si="164"/>
        <v>522</v>
      </c>
      <c r="L921" s="4">
        <v>38</v>
      </c>
      <c r="M921" s="7">
        <f t="shared" si="165"/>
        <v>1.0643678160919541</v>
      </c>
      <c r="N921" s="6"/>
    </row>
    <row r="922" spans="1:14" x14ac:dyDescent="0.25">
      <c r="A922" s="4">
        <v>8710</v>
      </c>
      <c r="B922" s="5">
        <f t="shared" si="158"/>
        <v>9270.6</v>
      </c>
      <c r="C922" s="5">
        <f t="shared" si="159"/>
        <v>2772.479108660817</v>
      </c>
      <c r="D922" s="34">
        <f t="shared" si="160"/>
        <v>2784.479108660817</v>
      </c>
      <c r="E922" s="34">
        <f t="shared" si="161"/>
        <v>8747.6991118430778</v>
      </c>
      <c r="F922" s="39">
        <f t="shared" si="162"/>
        <v>4373.8495559215389</v>
      </c>
      <c r="G922" s="46">
        <f t="shared" si="166"/>
        <v>1.06</v>
      </c>
      <c r="H922" s="5">
        <f t="shared" si="163"/>
        <v>560.6</v>
      </c>
      <c r="I922" s="4"/>
      <c r="J922" s="4">
        <v>0.06</v>
      </c>
      <c r="K922" s="5">
        <f t="shared" si="164"/>
        <v>522.6</v>
      </c>
      <c r="L922" s="4">
        <v>38</v>
      </c>
      <c r="M922" s="7">
        <f t="shared" si="165"/>
        <v>1.0643628013777269</v>
      </c>
      <c r="N922" s="6"/>
    </row>
    <row r="923" spans="1:14" x14ac:dyDescent="0.25">
      <c r="A923" s="4">
        <v>8720</v>
      </c>
      <c r="B923" s="5">
        <f t="shared" si="158"/>
        <v>9281.2000000000007</v>
      </c>
      <c r="C923" s="5">
        <f t="shared" si="159"/>
        <v>2775.6622075226546</v>
      </c>
      <c r="D923" s="34">
        <f t="shared" si="160"/>
        <v>2787.6622075226546</v>
      </c>
      <c r="E923" s="34">
        <f t="shared" si="161"/>
        <v>8757.6991118430778</v>
      </c>
      <c r="F923" s="39">
        <f t="shared" si="162"/>
        <v>4378.8495559215389</v>
      </c>
      <c r="G923" s="46">
        <f t="shared" si="166"/>
        <v>1.06</v>
      </c>
      <c r="H923" s="5">
        <f t="shared" si="163"/>
        <v>561.19999999999993</v>
      </c>
      <c r="I923" s="4"/>
      <c r="J923" s="4">
        <v>0.06</v>
      </c>
      <c r="K923" s="5">
        <f t="shared" si="164"/>
        <v>523.19999999999993</v>
      </c>
      <c r="L923" s="4">
        <v>38</v>
      </c>
      <c r="M923" s="7">
        <f t="shared" si="165"/>
        <v>1.0643577981651378</v>
      </c>
      <c r="N923" s="6"/>
    </row>
    <row r="924" spans="1:14" x14ac:dyDescent="0.25">
      <c r="A924" s="4">
        <v>8730</v>
      </c>
      <c r="B924" s="5">
        <f t="shared" si="158"/>
        <v>9291.7999999999993</v>
      </c>
      <c r="C924" s="5">
        <f t="shared" si="159"/>
        <v>2778.8453063844927</v>
      </c>
      <c r="D924" s="34">
        <f t="shared" si="160"/>
        <v>2790.8453063844927</v>
      </c>
      <c r="E924" s="34">
        <f t="shared" si="161"/>
        <v>8767.6991118430778</v>
      </c>
      <c r="F924" s="39">
        <f t="shared" si="162"/>
        <v>4383.8495559215389</v>
      </c>
      <c r="G924" s="46">
        <f t="shared" si="166"/>
        <v>1.06</v>
      </c>
      <c r="H924" s="5">
        <f t="shared" si="163"/>
        <v>561.79999999999995</v>
      </c>
      <c r="I924" s="4"/>
      <c r="J924" s="4">
        <v>0.06</v>
      </c>
      <c r="K924" s="5">
        <f t="shared" si="164"/>
        <v>523.79999999999995</v>
      </c>
      <c r="L924" s="4">
        <v>38</v>
      </c>
      <c r="M924" s="7">
        <f t="shared" si="165"/>
        <v>1.0643528064146619</v>
      </c>
      <c r="N924" s="6"/>
    </row>
    <row r="925" spans="1:14" x14ac:dyDescent="0.25">
      <c r="A925" s="4">
        <v>8740</v>
      </c>
      <c r="B925" s="5">
        <f t="shared" si="158"/>
        <v>9302.4</v>
      </c>
      <c r="C925" s="5">
        <f t="shared" si="159"/>
        <v>2782.0284052463307</v>
      </c>
      <c r="D925" s="34">
        <f t="shared" si="160"/>
        <v>2794.0284052463307</v>
      </c>
      <c r="E925" s="34">
        <f t="shared" si="161"/>
        <v>8777.6991118430778</v>
      </c>
      <c r="F925" s="39">
        <f t="shared" si="162"/>
        <v>4388.8495559215389</v>
      </c>
      <c r="G925" s="46">
        <f t="shared" si="166"/>
        <v>1.06</v>
      </c>
      <c r="H925" s="5">
        <f t="shared" si="163"/>
        <v>562.4</v>
      </c>
      <c r="I925" s="4"/>
      <c r="J925" s="4">
        <v>0.06</v>
      </c>
      <c r="K925" s="5">
        <f t="shared" si="164"/>
        <v>524.4</v>
      </c>
      <c r="L925" s="4">
        <v>38</v>
      </c>
      <c r="M925" s="7">
        <f t="shared" si="165"/>
        <v>1.0643478260869565</v>
      </c>
      <c r="N925" s="6"/>
    </row>
    <row r="926" spans="1:14" x14ac:dyDescent="0.25">
      <c r="A926" s="4">
        <v>8750</v>
      </c>
      <c r="B926" s="5">
        <f t="shared" si="158"/>
        <v>9313</v>
      </c>
      <c r="C926" s="5">
        <f t="shared" si="159"/>
        <v>2785.2115041081684</v>
      </c>
      <c r="D926" s="34">
        <f t="shared" si="160"/>
        <v>2797.2115041081684</v>
      </c>
      <c r="E926" s="34">
        <f t="shared" si="161"/>
        <v>8787.6991118430778</v>
      </c>
      <c r="F926" s="39">
        <f t="shared" si="162"/>
        <v>4393.8495559215389</v>
      </c>
      <c r="G926" s="46">
        <f t="shared" si="166"/>
        <v>1.06</v>
      </c>
      <c r="H926" s="5">
        <f t="shared" si="163"/>
        <v>563</v>
      </c>
      <c r="I926" s="4"/>
      <c r="J926" s="4">
        <v>0.06</v>
      </c>
      <c r="K926" s="5">
        <f t="shared" si="164"/>
        <v>525</v>
      </c>
      <c r="L926" s="4">
        <v>38</v>
      </c>
      <c r="M926" s="7">
        <f t="shared" si="165"/>
        <v>1.064342857142857</v>
      </c>
      <c r="N926" s="6"/>
    </row>
    <row r="927" spans="1:14" x14ac:dyDescent="0.25">
      <c r="A927" s="4">
        <v>8760</v>
      </c>
      <c r="B927" s="5">
        <f t="shared" si="158"/>
        <v>9323.6</v>
      </c>
      <c r="C927" s="5">
        <f t="shared" si="159"/>
        <v>2788.3946029700064</v>
      </c>
      <c r="D927" s="34">
        <f t="shared" si="160"/>
        <v>2800.3946029700064</v>
      </c>
      <c r="E927" s="34">
        <f t="shared" si="161"/>
        <v>8797.6991118430778</v>
      </c>
      <c r="F927" s="39">
        <f t="shared" si="162"/>
        <v>4398.8495559215389</v>
      </c>
      <c r="G927" s="46">
        <f t="shared" si="166"/>
        <v>1.06</v>
      </c>
      <c r="H927" s="5">
        <f t="shared" si="163"/>
        <v>563.6</v>
      </c>
      <c r="I927" s="4"/>
      <c r="J927" s="4">
        <v>0.06</v>
      </c>
      <c r="K927" s="5">
        <f t="shared" si="164"/>
        <v>525.6</v>
      </c>
      <c r="L927" s="4">
        <v>38</v>
      </c>
      <c r="M927" s="7">
        <f t="shared" si="165"/>
        <v>1.064337899543379</v>
      </c>
      <c r="N927" s="6"/>
    </row>
    <row r="928" spans="1:14" x14ac:dyDescent="0.25">
      <c r="A928" s="4">
        <v>8770</v>
      </c>
      <c r="B928" s="5">
        <f t="shared" si="158"/>
        <v>9334.2000000000007</v>
      </c>
      <c r="C928" s="5">
        <f t="shared" si="159"/>
        <v>2791.5777018318445</v>
      </c>
      <c r="D928" s="34">
        <f t="shared" si="160"/>
        <v>2803.5777018318445</v>
      </c>
      <c r="E928" s="34">
        <f t="shared" si="161"/>
        <v>8807.6991118430778</v>
      </c>
      <c r="F928" s="39">
        <f t="shared" si="162"/>
        <v>4403.8495559215389</v>
      </c>
      <c r="G928" s="46">
        <f t="shared" si="166"/>
        <v>1.06</v>
      </c>
      <c r="H928" s="5">
        <f t="shared" si="163"/>
        <v>564.19999999999993</v>
      </c>
      <c r="I928" s="4"/>
      <c r="J928" s="4">
        <v>0.06</v>
      </c>
      <c r="K928" s="5">
        <f t="shared" si="164"/>
        <v>526.19999999999993</v>
      </c>
      <c r="L928" s="4">
        <v>38</v>
      </c>
      <c r="M928" s="7">
        <f t="shared" si="165"/>
        <v>1.064332953249715</v>
      </c>
      <c r="N928" s="6"/>
    </row>
    <row r="929" spans="1:14" x14ac:dyDescent="0.25">
      <c r="A929" s="4">
        <v>8780</v>
      </c>
      <c r="B929" s="5">
        <f t="shared" si="158"/>
        <v>9344.7999999999993</v>
      </c>
      <c r="C929" s="5">
        <f t="shared" si="159"/>
        <v>2794.7608006936821</v>
      </c>
      <c r="D929" s="34">
        <f t="shared" si="160"/>
        <v>2806.7608006936821</v>
      </c>
      <c r="E929" s="34">
        <f t="shared" si="161"/>
        <v>8817.6991118430778</v>
      </c>
      <c r="F929" s="39">
        <f t="shared" si="162"/>
        <v>4408.8495559215389</v>
      </c>
      <c r="G929" s="46">
        <f t="shared" si="166"/>
        <v>1.06</v>
      </c>
      <c r="H929" s="5">
        <f t="shared" si="163"/>
        <v>564.79999999999995</v>
      </c>
      <c r="I929" s="4"/>
      <c r="J929" s="4">
        <v>0.06</v>
      </c>
      <c r="K929" s="5">
        <f t="shared" si="164"/>
        <v>526.79999999999995</v>
      </c>
      <c r="L929" s="4">
        <v>38</v>
      </c>
      <c r="M929" s="7">
        <f t="shared" si="165"/>
        <v>1.0643280182232346</v>
      </c>
      <c r="N929" s="6"/>
    </row>
    <row r="930" spans="1:14" x14ac:dyDescent="0.25">
      <c r="A930" s="4">
        <v>8790</v>
      </c>
      <c r="B930" s="5">
        <f t="shared" si="158"/>
        <v>9355.4</v>
      </c>
      <c r="C930" s="5">
        <f t="shared" si="159"/>
        <v>2797.9438995555201</v>
      </c>
      <c r="D930" s="34">
        <f t="shared" si="160"/>
        <v>2809.9438995555201</v>
      </c>
      <c r="E930" s="34">
        <f t="shared" si="161"/>
        <v>8827.6991118430778</v>
      </c>
      <c r="F930" s="39">
        <f t="shared" si="162"/>
        <v>4413.8495559215389</v>
      </c>
      <c r="G930" s="46">
        <f t="shared" si="166"/>
        <v>1.06</v>
      </c>
      <c r="H930" s="5">
        <f t="shared" si="163"/>
        <v>565.4</v>
      </c>
      <c r="I930" s="4"/>
      <c r="J930" s="4">
        <v>0.06</v>
      </c>
      <c r="K930" s="5">
        <f t="shared" si="164"/>
        <v>527.4</v>
      </c>
      <c r="L930" s="4">
        <v>38</v>
      </c>
      <c r="M930" s="7">
        <f t="shared" si="165"/>
        <v>1.0643230944254836</v>
      </c>
      <c r="N930" s="6"/>
    </row>
    <row r="931" spans="1:14" x14ac:dyDescent="0.25">
      <c r="A931" s="4">
        <v>8800</v>
      </c>
      <c r="B931" s="5">
        <f t="shared" si="158"/>
        <v>9366</v>
      </c>
      <c r="C931" s="5">
        <f t="shared" si="159"/>
        <v>2801.1269984173582</v>
      </c>
      <c r="D931" s="34">
        <f t="shared" si="160"/>
        <v>2813.1269984173582</v>
      </c>
      <c r="E931" s="34">
        <f t="shared" si="161"/>
        <v>8837.6991118430778</v>
      </c>
      <c r="F931" s="39">
        <f t="shared" si="162"/>
        <v>4418.8495559215389</v>
      </c>
      <c r="G931" s="46">
        <f t="shared" si="166"/>
        <v>1.06</v>
      </c>
      <c r="H931" s="5">
        <f t="shared" si="163"/>
        <v>566</v>
      </c>
      <c r="I931" s="4"/>
      <c r="J931" s="4">
        <v>0.06</v>
      </c>
      <c r="K931" s="5">
        <f t="shared" si="164"/>
        <v>528</v>
      </c>
      <c r="L931" s="4">
        <v>38</v>
      </c>
      <c r="M931" s="7">
        <f t="shared" si="165"/>
        <v>1.0643181818181817</v>
      </c>
      <c r="N931" s="6"/>
    </row>
    <row r="932" spans="1:14" x14ac:dyDescent="0.25">
      <c r="A932" s="4">
        <v>8810</v>
      </c>
      <c r="B932" s="5">
        <f t="shared" si="158"/>
        <v>9376.6</v>
      </c>
      <c r="C932" s="5">
        <f t="shared" si="159"/>
        <v>2804.3100972791958</v>
      </c>
      <c r="D932" s="34">
        <f t="shared" si="160"/>
        <v>2816.3100972791958</v>
      </c>
      <c r="E932" s="34">
        <f t="shared" si="161"/>
        <v>8847.6991118430778</v>
      </c>
      <c r="F932" s="39">
        <f t="shared" si="162"/>
        <v>4423.8495559215389</v>
      </c>
      <c r="G932" s="46">
        <f t="shared" si="166"/>
        <v>1.06</v>
      </c>
      <c r="H932" s="5">
        <f t="shared" si="163"/>
        <v>566.6</v>
      </c>
      <c r="I932" s="4"/>
      <c r="J932" s="4">
        <v>0.06</v>
      </c>
      <c r="K932" s="5">
        <f t="shared" si="164"/>
        <v>528.6</v>
      </c>
      <c r="L932" s="4">
        <v>38</v>
      </c>
      <c r="M932" s="7">
        <f t="shared" si="165"/>
        <v>1.0643132803632236</v>
      </c>
      <c r="N932" s="6"/>
    </row>
    <row r="933" spans="1:14" x14ac:dyDescent="0.25">
      <c r="A933" s="4">
        <v>8820</v>
      </c>
      <c r="B933" s="5">
        <f t="shared" si="158"/>
        <v>9387.2000000000007</v>
      </c>
      <c r="C933" s="5">
        <f t="shared" si="159"/>
        <v>2807.4931961410339</v>
      </c>
      <c r="D933" s="34">
        <f t="shared" si="160"/>
        <v>2819.4931961410339</v>
      </c>
      <c r="E933" s="34">
        <f t="shared" si="161"/>
        <v>8857.6991118430778</v>
      </c>
      <c r="F933" s="39">
        <f t="shared" si="162"/>
        <v>4428.8495559215389</v>
      </c>
      <c r="G933" s="46">
        <f t="shared" si="166"/>
        <v>1.06</v>
      </c>
      <c r="H933" s="5">
        <f t="shared" si="163"/>
        <v>567.19999999999993</v>
      </c>
      <c r="I933" s="4"/>
      <c r="J933" s="4">
        <v>0.06</v>
      </c>
      <c r="K933" s="5">
        <f t="shared" si="164"/>
        <v>529.19999999999993</v>
      </c>
      <c r="L933" s="4">
        <v>38</v>
      </c>
      <c r="M933" s="7">
        <f t="shared" si="165"/>
        <v>1.0643083900226757</v>
      </c>
      <c r="N933" s="6"/>
    </row>
    <row r="934" spans="1:14" x14ac:dyDescent="0.25">
      <c r="A934" s="4">
        <v>8830</v>
      </c>
      <c r="B934" s="5">
        <f t="shared" si="158"/>
        <v>9397.7999999999993</v>
      </c>
      <c r="C934" s="5">
        <f t="shared" si="159"/>
        <v>2810.6762950028719</v>
      </c>
      <c r="D934" s="34">
        <f t="shared" si="160"/>
        <v>2822.6762950028719</v>
      </c>
      <c r="E934" s="34">
        <f t="shared" si="161"/>
        <v>8867.6991118430778</v>
      </c>
      <c r="F934" s="39">
        <f t="shared" si="162"/>
        <v>4433.8495559215389</v>
      </c>
      <c r="G934" s="46">
        <f t="shared" si="166"/>
        <v>1.06</v>
      </c>
      <c r="H934" s="5">
        <f t="shared" si="163"/>
        <v>567.79999999999995</v>
      </c>
      <c r="I934" s="4"/>
      <c r="J934" s="4">
        <v>0.06</v>
      </c>
      <c r="K934" s="5">
        <f t="shared" si="164"/>
        <v>529.79999999999995</v>
      </c>
      <c r="L934" s="4">
        <v>38</v>
      </c>
      <c r="M934" s="7">
        <f t="shared" si="165"/>
        <v>1.0643035107587768</v>
      </c>
      <c r="N934" s="6"/>
    </row>
    <row r="935" spans="1:14" x14ac:dyDescent="0.25">
      <c r="A935" s="4">
        <v>8840</v>
      </c>
      <c r="B935" s="5">
        <f t="shared" si="158"/>
        <v>9408.4</v>
      </c>
      <c r="C935" s="5">
        <f t="shared" si="159"/>
        <v>2813.8593938647095</v>
      </c>
      <c r="D935" s="34">
        <f t="shared" si="160"/>
        <v>2825.8593938647095</v>
      </c>
      <c r="E935" s="34">
        <f t="shared" si="161"/>
        <v>8877.6991118430778</v>
      </c>
      <c r="F935" s="39">
        <f t="shared" si="162"/>
        <v>4438.8495559215389</v>
      </c>
      <c r="G935" s="46">
        <f t="shared" si="166"/>
        <v>1.06</v>
      </c>
      <c r="H935" s="5">
        <f t="shared" si="163"/>
        <v>568.4</v>
      </c>
      <c r="I935" s="4"/>
      <c r="J935" s="4">
        <v>0.06</v>
      </c>
      <c r="K935" s="5">
        <f t="shared" si="164"/>
        <v>530.4</v>
      </c>
      <c r="L935" s="4">
        <v>38</v>
      </c>
      <c r="M935" s="7">
        <f t="shared" si="165"/>
        <v>1.0642986425339367</v>
      </c>
      <c r="N935" s="6"/>
    </row>
    <row r="936" spans="1:14" x14ac:dyDescent="0.25">
      <c r="A936" s="4">
        <v>8850</v>
      </c>
      <c r="B936" s="5">
        <f t="shared" si="158"/>
        <v>9419</v>
      </c>
      <c r="C936" s="5">
        <f t="shared" si="159"/>
        <v>2817.0424927265476</v>
      </c>
      <c r="D936" s="34">
        <f t="shared" si="160"/>
        <v>2829.0424927265476</v>
      </c>
      <c r="E936" s="34">
        <f t="shared" si="161"/>
        <v>8887.6991118430778</v>
      </c>
      <c r="F936" s="39">
        <f t="shared" si="162"/>
        <v>4443.8495559215389</v>
      </c>
      <c r="G936" s="46">
        <f t="shared" si="166"/>
        <v>1.06</v>
      </c>
      <c r="H936" s="5">
        <f t="shared" si="163"/>
        <v>569</v>
      </c>
      <c r="I936" s="4"/>
      <c r="J936" s="4">
        <v>0.06</v>
      </c>
      <c r="K936" s="5">
        <f t="shared" si="164"/>
        <v>531</v>
      </c>
      <c r="L936" s="4">
        <v>38</v>
      </c>
      <c r="M936" s="7">
        <f t="shared" si="165"/>
        <v>1.0642937853107344</v>
      </c>
      <c r="N936" s="6"/>
    </row>
    <row r="937" spans="1:14" x14ac:dyDescent="0.25">
      <c r="A937" s="4">
        <v>8860</v>
      </c>
      <c r="B937" s="5">
        <f t="shared" si="158"/>
        <v>9429.6</v>
      </c>
      <c r="C937" s="5">
        <f t="shared" si="159"/>
        <v>2820.2255915883857</v>
      </c>
      <c r="D937" s="34">
        <f t="shared" si="160"/>
        <v>2832.2255915883857</v>
      </c>
      <c r="E937" s="34">
        <f t="shared" si="161"/>
        <v>8897.6991118430778</v>
      </c>
      <c r="F937" s="39">
        <f t="shared" si="162"/>
        <v>4448.8495559215389</v>
      </c>
      <c r="G937" s="46">
        <f t="shared" si="166"/>
        <v>1.06</v>
      </c>
      <c r="H937" s="5">
        <f t="shared" si="163"/>
        <v>569.6</v>
      </c>
      <c r="I937" s="4"/>
      <c r="J937" s="4">
        <v>0.06</v>
      </c>
      <c r="K937" s="5">
        <f t="shared" si="164"/>
        <v>531.6</v>
      </c>
      <c r="L937" s="4">
        <v>38</v>
      </c>
      <c r="M937" s="7">
        <f t="shared" si="165"/>
        <v>1.0642889390519188</v>
      </c>
      <c r="N937" s="6"/>
    </row>
    <row r="938" spans="1:14" x14ac:dyDescent="0.25">
      <c r="A938" s="4">
        <v>8870</v>
      </c>
      <c r="B938" s="5">
        <f t="shared" si="158"/>
        <v>9440.2000000000007</v>
      </c>
      <c r="C938" s="5">
        <f t="shared" si="159"/>
        <v>2823.4086904502233</v>
      </c>
      <c r="D938" s="34">
        <f t="shared" si="160"/>
        <v>2835.4086904502233</v>
      </c>
      <c r="E938" s="34">
        <f t="shared" si="161"/>
        <v>8907.6991118430778</v>
      </c>
      <c r="F938" s="39">
        <f t="shared" si="162"/>
        <v>4453.8495559215389</v>
      </c>
      <c r="G938" s="46">
        <f t="shared" si="166"/>
        <v>1.06</v>
      </c>
      <c r="H938" s="5">
        <f t="shared" si="163"/>
        <v>570.19999999999993</v>
      </c>
      <c r="I938" s="4"/>
      <c r="J938" s="4">
        <v>0.06</v>
      </c>
      <c r="K938" s="5">
        <f t="shared" si="164"/>
        <v>532.19999999999993</v>
      </c>
      <c r="L938" s="4">
        <v>38</v>
      </c>
      <c r="M938" s="7">
        <f t="shared" si="165"/>
        <v>1.064284103720406</v>
      </c>
      <c r="N938" s="6"/>
    </row>
    <row r="939" spans="1:14" x14ac:dyDescent="0.25">
      <c r="A939" s="4">
        <v>8880</v>
      </c>
      <c r="B939" s="5">
        <f t="shared" si="158"/>
        <v>9450.7999999999993</v>
      </c>
      <c r="C939" s="5">
        <f t="shared" si="159"/>
        <v>2826.5917893120613</v>
      </c>
      <c r="D939" s="34">
        <f t="shared" si="160"/>
        <v>2838.5917893120613</v>
      </c>
      <c r="E939" s="34">
        <f t="shared" si="161"/>
        <v>8917.6991118430778</v>
      </c>
      <c r="F939" s="39">
        <f t="shared" si="162"/>
        <v>4458.8495559215389</v>
      </c>
      <c r="G939" s="46">
        <f t="shared" si="166"/>
        <v>1.06</v>
      </c>
      <c r="H939" s="5">
        <f t="shared" si="163"/>
        <v>570.79999999999995</v>
      </c>
      <c r="I939" s="4"/>
      <c r="J939" s="4">
        <v>0.06</v>
      </c>
      <c r="K939" s="5">
        <f t="shared" si="164"/>
        <v>532.79999999999995</v>
      </c>
      <c r="L939" s="4">
        <v>38</v>
      </c>
      <c r="M939" s="7">
        <f t="shared" si="165"/>
        <v>1.0642792792792792</v>
      </c>
      <c r="N939" s="6"/>
    </row>
    <row r="940" spans="1:14" x14ac:dyDescent="0.25">
      <c r="A940" s="4">
        <v>8890</v>
      </c>
      <c r="B940" s="5">
        <f t="shared" si="158"/>
        <v>9461.4</v>
      </c>
      <c r="C940" s="5">
        <f t="shared" si="159"/>
        <v>2829.7748881738994</v>
      </c>
      <c r="D940" s="34">
        <f t="shared" si="160"/>
        <v>2841.7748881738994</v>
      </c>
      <c r="E940" s="34">
        <f t="shared" si="161"/>
        <v>8927.6991118430778</v>
      </c>
      <c r="F940" s="39">
        <f t="shared" si="162"/>
        <v>4463.8495559215389</v>
      </c>
      <c r="G940" s="46">
        <f t="shared" si="166"/>
        <v>1.06</v>
      </c>
      <c r="H940" s="5">
        <f t="shared" si="163"/>
        <v>571.4</v>
      </c>
      <c r="I940" s="4"/>
      <c r="J940" s="4">
        <v>0.06</v>
      </c>
      <c r="K940" s="5">
        <f t="shared" si="164"/>
        <v>533.4</v>
      </c>
      <c r="L940" s="4">
        <v>38</v>
      </c>
      <c r="M940" s="7">
        <f t="shared" si="165"/>
        <v>1.0642744656917884</v>
      </c>
      <c r="N940" s="6"/>
    </row>
    <row r="941" spans="1:14" x14ac:dyDescent="0.25">
      <c r="A941" s="4">
        <v>8900</v>
      </c>
      <c r="B941" s="5">
        <f t="shared" si="158"/>
        <v>9472</v>
      </c>
      <c r="C941" s="5">
        <f t="shared" si="159"/>
        <v>2832.957987035737</v>
      </c>
      <c r="D941" s="34">
        <f t="shared" si="160"/>
        <v>2844.957987035737</v>
      </c>
      <c r="E941" s="34">
        <f t="shared" si="161"/>
        <v>8937.6991118430778</v>
      </c>
      <c r="F941" s="39">
        <f t="shared" si="162"/>
        <v>4468.8495559215389</v>
      </c>
      <c r="G941" s="46">
        <f t="shared" si="166"/>
        <v>1.06</v>
      </c>
      <c r="H941" s="5">
        <f t="shared" si="163"/>
        <v>572</v>
      </c>
      <c r="I941" s="4"/>
      <c r="J941" s="4">
        <v>0.06</v>
      </c>
      <c r="K941" s="5">
        <f t="shared" si="164"/>
        <v>534</v>
      </c>
      <c r="L941" s="4">
        <v>38</v>
      </c>
      <c r="M941" s="7">
        <f t="shared" si="165"/>
        <v>1.0642696629213484</v>
      </c>
      <c r="N941" s="6"/>
    </row>
    <row r="942" spans="1:14" x14ac:dyDescent="0.25">
      <c r="A942" s="4">
        <v>8910</v>
      </c>
      <c r="B942" s="5">
        <f t="shared" ref="B942:B944" si="167">A942+K942+L942</f>
        <v>9482.6</v>
      </c>
      <c r="C942" s="5">
        <f t="shared" ref="C942:C944" si="168">A942/PI()</f>
        <v>2836.1410858975751</v>
      </c>
      <c r="D942" s="34">
        <f t="shared" ref="D942:D944" si="169">C942+12</f>
        <v>2848.1410858975751</v>
      </c>
      <c r="E942" s="34">
        <f t="shared" ref="E942:E944" si="170">D942*PI()</f>
        <v>8947.6991118430778</v>
      </c>
      <c r="F942" s="39">
        <f t="shared" ref="F942:F944" si="171">E942/2</f>
        <v>4473.8495559215389</v>
      </c>
      <c r="G942" s="46">
        <f t="shared" si="166"/>
        <v>1.06</v>
      </c>
      <c r="H942" s="5">
        <f t="shared" ref="H942:H944" si="172">K942+L942</f>
        <v>572.6</v>
      </c>
      <c r="I942" s="4"/>
      <c r="J942" s="4">
        <v>0.06</v>
      </c>
      <c r="K942" s="5">
        <f t="shared" ref="K942:K944" si="173">A942*J942</f>
        <v>534.6</v>
      </c>
      <c r="L942" s="4">
        <v>38</v>
      </c>
      <c r="M942" s="7">
        <f t="shared" ref="M942:M944" si="174">B942/A942</f>
        <v>1.0642648709315377</v>
      </c>
      <c r="N942" s="6"/>
    </row>
    <row r="943" spans="1:14" x14ac:dyDescent="0.25">
      <c r="A943" s="4">
        <v>8920</v>
      </c>
      <c r="B943" s="5">
        <f t="shared" si="167"/>
        <v>9493.2000000000007</v>
      </c>
      <c r="C943" s="5">
        <f t="shared" si="168"/>
        <v>2839.3241847594127</v>
      </c>
      <c r="D943" s="34">
        <f t="shared" si="169"/>
        <v>2851.3241847594127</v>
      </c>
      <c r="E943" s="34">
        <f t="shared" si="170"/>
        <v>8957.699111843076</v>
      </c>
      <c r="F943" s="39">
        <f t="shared" si="171"/>
        <v>4478.849555921538</v>
      </c>
      <c r="G943" s="46">
        <f t="shared" si="166"/>
        <v>1.06</v>
      </c>
      <c r="H943" s="5">
        <f t="shared" si="172"/>
        <v>573.19999999999993</v>
      </c>
      <c r="I943" s="4"/>
      <c r="J943" s="4">
        <v>0.06</v>
      </c>
      <c r="K943" s="5">
        <f t="shared" si="173"/>
        <v>535.19999999999993</v>
      </c>
      <c r="L943" s="4">
        <v>38</v>
      </c>
      <c r="M943" s="7">
        <f t="shared" si="174"/>
        <v>1.0642600896860988</v>
      </c>
      <c r="N943" s="6"/>
    </row>
    <row r="944" spans="1:14" x14ac:dyDescent="0.25">
      <c r="A944" s="4">
        <v>8930</v>
      </c>
      <c r="B944" s="5">
        <f t="shared" si="167"/>
        <v>9503.7999999999993</v>
      </c>
      <c r="C944" s="5">
        <f t="shared" si="168"/>
        <v>2842.5072836212507</v>
      </c>
      <c r="D944" s="34">
        <f t="shared" si="169"/>
        <v>2854.5072836212507</v>
      </c>
      <c r="E944" s="34">
        <f t="shared" si="170"/>
        <v>8967.6991118430778</v>
      </c>
      <c r="F944" s="39">
        <f t="shared" si="171"/>
        <v>4483.8495559215389</v>
      </c>
      <c r="G944" s="46">
        <f t="shared" si="166"/>
        <v>1.06</v>
      </c>
      <c r="H944" s="5">
        <f t="shared" si="172"/>
        <v>573.79999999999995</v>
      </c>
      <c r="I944" s="4"/>
      <c r="J944" s="4">
        <v>0.06</v>
      </c>
      <c r="K944" s="5">
        <f t="shared" si="173"/>
        <v>535.79999999999995</v>
      </c>
      <c r="L944" s="4">
        <v>38</v>
      </c>
      <c r="M944" s="7">
        <f t="shared" si="174"/>
        <v>1.0642553191489361</v>
      </c>
      <c r="N944" s="6"/>
    </row>
    <row r="945" spans="1:14" ht="14.25" customHeight="1" x14ac:dyDescent="0.25">
      <c r="A945" s="4"/>
      <c r="B945" s="5"/>
      <c r="C945" s="4"/>
      <c r="D945" s="4"/>
      <c r="E945" s="4"/>
      <c r="F945" s="4"/>
      <c r="G945" s="48"/>
      <c r="H945" s="5"/>
      <c r="I945" s="4"/>
      <c r="J945" s="4"/>
      <c r="K945" s="4"/>
      <c r="L945" s="4"/>
      <c r="M945" s="7"/>
      <c r="N945" s="8"/>
    </row>
    <row r="946" spans="1:14" x14ac:dyDescent="0.25">
      <c r="A946" s="4"/>
      <c r="B946" s="5"/>
      <c r="C946" s="4" t="s">
        <v>4</v>
      </c>
      <c r="D946" s="4"/>
      <c r="E946" s="4"/>
      <c r="F946" s="4"/>
      <c r="G946" s="48"/>
      <c r="H946" s="5"/>
      <c r="I946" s="4"/>
      <c r="J946" s="4"/>
      <c r="K946" s="4"/>
      <c r="L946" s="4"/>
      <c r="M946" s="7"/>
      <c r="N946" s="8"/>
    </row>
    <row r="947" spans="1:14" x14ac:dyDescent="0.25">
      <c r="A947" s="4" t="s">
        <v>2</v>
      </c>
      <c r="B947" s="5"/>
      <c r="C947" s="4"/>
      <c r="D947" s="4"/>
      <c r="E947" s="4"/>
      <c r="F947" s="4"/>
      <c r="G947" s="48"/>
      <c r="H947" s="5"/>
      <c r="I947" s="4"/>
      <c r="J947" s="4"/>
      <c r="K947" s="4"/>
      <c r="L947" s="4"/>
      <c r="M947" s="7"/>
      <c r="N947" s="8"/>
    </row>
    <row r="948" spans="1:14" x14ac:dyDescent="0.25">
      <c r="A948" s="4"/>
      <c r="B948" s="5"/>
      <c r="C948" s="4"/>
      <c r="D948" s="4"/>
      <c r="E948" s="4"/>
      <c r="F948" s="4"/>
      <c r="G948" s="48"/>
      <c r="H948" s="5"/>
      <c r="I948" s="4"/>
      <c r="J948" s="4"/>
      <c r="K948" s="4"/>
      <c r="L948" s="4"/>
      <c r="M948" s="7"/>
      <c r="N948" s="8"/>
    </row>
    <row r="949" spans="1:14" x14ac:dyDescent="0.25">
      <c r="A949" s="4">
        <v>1510</v>
      </c>
      <c r="B949" s="5">
        <f t="shared" si="26"/>
        <v>1638.6</v>
      </c>
      <c r="C949" s="4"/>
      <c r="D949" s="4"/>
      <c r="E949" s="4"/>
      <c r="F949" s="4"/>
      <c r="G949" s="48"/>
      <c r="H949" s="5">
        <f t="shared" si="31"/>
        <v>128.6</v>
      </c>
      <c r="I949" s="4"/>
      <c r="J949" s="4">
        <v>0.06</v>
      </c>
      <c r="K949" s="5">
        <f>A949*J949</f>
        <v>90.6</v>
      </c>
      <c r="L949" s="4">
        <v>38</v>
      </c>
      <c r="M949" s="7">
        <f t="shared" si="32"/>
        <v>1.0851655629139072</v>
      </c>
      <c r="N949" s="8"/>
    </row>
    <row r="950" spans="1:14" x14ac:dyDescent="0.25">
      <c r="A950" s="4">
        <v>1600</v>
      </c>
      <c r="B950" s="5">
        <f t="shared" si="26"/>
        <v>1734</v>
      </c>
      <c r="C950" s="4"/>
      <c r="D950" s="4"/>
      <c r="E950" s="4"/>
      <c r="F950" s="4"/>
      <c r="G950" s="48"/>
      <c r="H950" s="5">
        <f t="shared" ref="H950" si="175">K950+L950</f>
        <v>134</v>
      </c>
      <c r="I950" s="4"/>
      <c r="J950" s="4">
        <v>0.06</v>
      </c>
      <c r="K950" s="5">
        <f>A950*J950</f>
        <v>96</v>
      </c>
      <c r="L950" s="4">
        <v>38</v>
      </c>
      <c r="M950" s="7">
        <f t="shared" si="32"/>
        <v>1.08375</v>
      </c>
      <c r="N950" s="8"/>
    </row>
    <row r="951" spans="1:14" x14ac:dyDescent="0.25">
      <c r="A951" s="4">
        <v>1710</v>
      </c>
      <c r="B951" s="5">
        <f>A951+K951+L951</f>
        <v>1850.6</v>
      </c>
      <c r="C951" s="4"/>
      <c r="D951" s="4"/>
      <c r="E951" s="4"/>
      <c r="F951" s="4"/>
      <c r="G951" s="48"/>
      <c r="H951" s="5">
        <f t="shared" ref="H951" si="176">K951+L951</f>
        <v>140.6</v>
      </c>
      <c r="I951" s="4"/>
      <c r="J951" s="4">
        <v>0.06</v>
      </c>
      <c r="K951" s="5">
        <f t="shared" ref="K951:K953" si="177">A951*J951</f>
        <v>102.6</v>
      </c>
      <c r="L951" s="4">
        <v>38</v>
      </c>
      <c r="M951" s="7">
        <f t="shared" si="32"/>
        <v>1.0822222222222222</v>
      </c>
      <c r="N951" s="8"/>
    </row>
    <row r="952" spans="1:14" x14ac:dyDescent="0.25">
      <c r="A952" s="4">
        <v>1810</v>
      </c>
      <c r="B952" s="5">
        <f t="shared" ref="B952:B955" si="178">A952+K952+L952</f>
        <v>1956.6</v>
      </c>
      <c r="C952" s="4"/>
      <c r="D952" s="4"/>
      <c r="E952" s="4"/>
      <c r="F952" s="4"/>
      <c r="G952" s="48"/>
      <c r="H952" s="5">
        <f>K952+L952</f>
        <v>146.6</v>
      </c>
      <c r="I952" s="4"/>
      <c r="J952" s="4">
        <v>0.06</v>
      </c>
      <c r="K952" s="5">
        <f t="shared" si="177"/>
        <v>108.6</v>
      </c>
      <c r="L952" s="4">
        <v>38</v>
      </c>
      <c r="M952" s="7">
        <f t="shared" si="32"/>
        <v>1.0809944751381215</v>
      </c>
      <c r="N952" s="8"/>
    </row>
    <row r="953" spans="1:14" x14ac:dyDescent="0.25">
      <c r="A953" s="4">
        <v>1900</v>
      </c>
      <c r="B953" s="5">
        <f t="shared" si="178"/>
        <v>2052</v>
      </c>
      <c r="C953" s="4"/>
      <c r="D953" s="4"/>
      <c r="E953" s="4"/>
      <c r="F953" s="4"/>
      <c r="G953" s="48"/>
      <c r="H953" s="5">
        <f t="shared" ref="H953:H955" si="179">K953+L953</f>
        <v>152</v>
      </c>
      <c r="I953" s="4"/>
      <c r="J953" s="4">
        <v>0.06</v>
      </c>
      <c r="K953" s="5">
        <f t="shared" si="177"/>
        <v>114</v>
      </c>
      <c r="L953" s="4">
        <v>38</v>
      </c>
      <c r="M953" s="7">
        <f t="shared" si="32"/>
        <v>1.08</v>
      </c>
      <c r="N953" s="8"/>
    </row>
    <row r="954" spans="1:14" x14ac:dyDescent="0.25">
      <c r="A954" s="4"/>
      <c r="B954" s="5">
        <f t="shared" si="178"/>
        <v>38</v>
      </c>
      <c r="C954" s="4"/>
      <c r="D954" s="4"/>
      <c r="E954" s="4"/>
      <c r="F954" s="4"/>
      <c r="G954" s="48"/>
      <c r="H954" s="5">
        <f t="shared" si="179"/>
        <v>38</v>
      </c>
      <c r="I954" s="4"/>
      <c r="J954" s="4">
        <v>0.06</v>
      </c>
      <c r="K954" s="5"/>
      <c r="L954" s="4">
        <v>38</v>
      </c>
      <c r="M954" s="4"/>
      <c r="N954" s="2"/>
    </row>
    <row r="955" spans="1:14" x14ac:dyDescent="0.25">
      <c r="A955" s="4"/>
      <c r="B955" s="5">
        <f t="shared" si="178"/>
        <v>38</v>
      </c>
      <c r="C955" s="4"/>
      <c r="D955" s="4"/>
      <c r="E955" s="4"/>
      <c r="F955" s="4"/>
      <c r="G955" s="48"/>
      <c r="H955" s="5">
        <f t="shared" si="179"/>
        <v>38</v>
      </c>
      <c r="I955" s="4"/>
      <c r="J955" s="4">
        <v>0.06</v>
      </c>
      <c r="K955" s="5"/>
      <c r="L955" s="4">
        <v>38</v>
      </c>
      <c r="M955" s="4"/>
      <c r="N955" s="2"/>
    </row>
    <row r="956" spans="1:14" x14ac:dyDescent="0.25">
      <c r="A956" s="4"/>
      <c r="B956" s="4"/>
      <c r="C956" s="4"/>
      <c r="D956" s="4"/>
      <c r="E956" s="4"/>
      <c r="F956" s="4"/>
      <c r="G956" s="48"/>
      <c r="H956" s="4"/>
      <c r="I956" s="4"/>
      <c r="J956" s="4"/>
      <c r="K956" s="5"/>
      <c r="L956" s="4">
        <v>38</v>
      </c>
      <c r="M956" s="4"/>
      <c r="N956" s="2"/>
    </row>
    <row r="957" spans="1:14" x14ac:dyDescent="0.25">
      <c r="A957" s="2"/>
      <c r="B957" s="2"/>
      <c r="C957" s="2"/>
      <c r="D957" s="2"/>
      <c r="E957" s="2"/>
      <c r="F957" s="2"/>
      <c r="G957" s="43"/>
      <c r="H957" s="2"/>
      <c r="I957" s="2"/>
      <c r="J957" s="2"/>
      <c r="K957" s="6"/>
      <c r="L957" s="2"/>
      <c r="M957" s="2"/>
      <c r="N957" s="2"/>
    </row>
    <row r="958" spans="1:14" x14ac:dyDescent="0.25">
      <c r="A958" s="2"/>
      <c r="B958" s="2"/>
      <c r="C958" s="2"/>
      <c r="D958" s="2"/>
      <c r="E958" s="2"/>
      <c r="F958" s="2"/>
      <c r="G958" s="43"/>
      <c r="H958" s="2"/>
      <c r="I958" s="2"/>
      <c r="J958" s="2"/>
      <c r="K958" s="6"/>
      <c r="L958" s="2"/>
      <c r="M958" s="2"/>
      <c r="N958" s="2"/>
    </row>
    <row r="959" spans="1:14" x14ac:dyDescent="0.25">
      <c r="A959" s="2"/>
      <c r="B959" s="2"/>
      <c r="C959" s="2"/>
      <c r="D959" s="2"/>
      <c r="E959" s="2"/>
      <c r="F959" s="2"/>
      <c r="G959" s="43"/>
      <c r="H959" s="2"/>
      <c r="I959" s="2"/>
      <c r="J959" s="2"/>
      <c r="K959" s="6"/>
      <c r="L959" s="2"/>
      <c r="M959" s="2"/>
      <c r="N959" s="2"/>
    </row>
    <row r="960" spans="1:14" x14ac:dyDescent="0.25">
      <c r="K960" s="1"/>
    </row>
    <row r="961" spans="11:11" x14ac:dyDescent="0.25">
      <c r="K961" s="1"/>
    </row>
  </sheetData>
  <pageMargins left="0.7" right="0.7" top="0.75" bottom="0.75" header="0.3" footer="0.3"/>
  <pageSetup paperSize="8"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 de Wit</dc:creator>
  <cp:lastModifiedBy>Leroy Wijnker</cp:lastModifiedBy>
  <cp:lastPrinted>2023-06-07T05:16:49Z</cp:lastPrinted>
  <dcterms:created xsi:type="dcterms:W3CDTF">2023-04-20T12:34:06Z</dcterms:created>
  <dcterms:modified xsi:type="dcterms:W3CDTF">2023-06-12T11:13:36Z</dcterms:modified>
</cp:coreProperties>
</file>