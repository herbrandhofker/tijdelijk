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Samenvatting" sheetId="1" state="visible" r:id="rId1"/>
    <sheet name="Meetstaten Details" sheetId="2" state="visible" r:id="rId2"/>
    <sheet name="Meetstaten Pagina'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€&quot;\ * #,##0.00_);_(&quot;€&quot;\ * \(#,##0.00\);_(&quot;€&quot;\ * &quot;-&quot;??_);_(@_)"/>
    <numFmt numFmtId="165" formatCode="_(&quot;€&quot;\ * #,##0_);_(&quot;€&quot;\ * \(#,##0\);_(&quot;€&quot;\ * &quot;-&quot;_);_(@_)"/>
    <numFmt numFmtId="166" formatCode="0.000"/>
  </numFmts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FF0000"/>
      <sz val="12"/>
      <scheme val="minor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color rgb="FF00B0F0"/>
      <sz val="10"/>
    </font>
    <font>
      <name val="Calibri"/>
      <family val="2"/>
      <color rgb="FF00B0F0"/>
      <sz val="12"/>
      <scheme val="minor"/>
    </font>
    <font>
      <name val="Calibri (Hoofdtekst)"/>
      <color rgb="FFFF0000"/>
      <sz val="12"/>
    </font>
    <font>
      <name val="Arial"/>
      <family val="2"/>
      <color rgb="FFFF0000"/>
      <sz val="10"/>
    </font>
    <font>
      <name val="Calibri (Hoofdtekst)"/>
      <color rgb="FF00B0F0"/>
      <sz val="12"/>
    </font>
    <font>
      <name val="Arial"/>
      <color theme="1"/>
      <sz val="10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1F497D"/>
      <sz val="16"/>
    </font>
    <font>
      <name val="Segoe UI"/>
      <i val="1"/>
      <color rgb="00595959"/>
      <sz val="11"/>
    </font>
    <font>
      <name val="Segoe UI"/>
      <b val="1"/>
      <color rgb="00595959"/>
      <sz val="9"/>
    </font>
    <font>
      <name val="Segoe UI"/>
      <b val="1"/>
      <color rgb="001F497D"/>
      <sz val="18"/>
    </font>
  </fonts>
  <fills count="8">
    <fill>
      <patternFill/>
    </fill>
    <fill>
      <patternFill patternType="gray125"/>
    </fill>
    <fill>
      <patternFill patternType="solid">
        <fgColor rgb="FF00FD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DCE6F1"/>
        <bgColor rgb="00DCE6F1"/>
      </patternFill>
    </fill>
    <fill>
      <patternFill patternType="solid">
        <fgColor rgb="00E9EEF4"/>
        <bgColor rgb="00E9EEF4"/>
      </patternFill>
    </fill>
  </fills>
  <borders count="4">
    <border>
      <left/>
      <right/>
      <top/>
      <bottom/>
      <diagonal/>
    </border>
    <border>
      <left/>
      <right/>
      <top/>
      <bottom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</borders>
  <cellStyleXfs count="2">
    <xf numFmtId="0" fontId="1" fillId="0" borderId="0"/>
    <xf numFmtId="44" fontId="1" fillId="0" borderId="0"/>
  </cellStyleXfs>
  <cellXfs count="75">
    <xf numFmtId="0" fontId="0" fillId="0" borderId="0" pivotButton="0" quotePrefix="0" xfId="0"/>
    <xf numFmtId="14" fontId="0" fillId="2" borderId="0" applyAlignment="1" pivotButton="0" quotePrefix="0" xfId="0">
      <alignment textRotation="45"/>
    </xf>
    <xf numFmtId="0" fontId="3" fillId="0" borderId="0" applyAlignment="1" pivotButton="0" quotePrefix="0" xfId="0">
      <alignment textRotation="45"/>
    </xf>
    <xf numFmtId="0" fontId="4" fillId="0" borderId="0" applyAlignment="1" pivotButton="0" quotePrefix="0" xfId="0">
      <alignment textRotation="45"/>
    </xf>
    <xf numFmtId="164" fontId="4" fillId="3" borderId="0" applyAlignment="1" pivotButton="0" quotePrefix="0" xfId="1">
      <alignment textRotation="45"/>
    </xf>
    <xf numFmtId="0" fontId="4" fillId="3" borderId="0" applyAlignment="1" pivotButton="0" quotePrefix="0" xfId="0">
      <alignment textRotation="45"/>
    </xf>
    <xf numFmtId="0" fontId="0" fillId="0" borderId="0" applyAlignment="1" pivotButton="0" quotePrefix="0" xfId="0">
      <alignment textRotation="45"/>
    </xf>
    <xf numFmtId="164" fontId="0" fillId="0" borderId="0" applyAlignment="1" pivotButton="0" quotePrefix="0" xfId="1">
      <alignment textRotation="45"/>
    </xf>
    <xf numFmtId="165" fontId="0" fillId="0" borderId="0" applyAlignment="1" pivotButton="0" quotePrefix="0" xfId="0">
      <alignment textRotation="45"/>
    </xf>
    <xf numFmtId="164" fontId="0" fillId="0" borderId="0" pivotButton="0" quotePrefix="0" xfId="1"/>
    <xf numFmtId="0" fontId="0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0" fillId="0" borderId="0" pivotButton="0" quotePrefix="0" xfId="0"/>
    <xf numFmtId="164" fontId="2" fillId="0" borderId="0" pivotButton="0" quotePrefix="0" xfId="1"/>
    <xf numFmtId="0" fontId="3" fillId="2" borderId="0" pivotButton="0" quotePrefix="0" xfId="0"/>
    <xf numFmtId="0" fontId="4" fillId="0" borderId="0" applyAlignment="1" pivotButton="0" quotePrefix="0" xfId="0">
      <alignment horizontal="center"/>
    </xf>
    <xf numFmtId="164" fontId="0" fillId="0" borderId="0" pivotButton="0" quotePrefix="0" xfId="0"/>
    <xf numFmtId="39" fontId="0" fillId="0" borderId="0" pivotButton="0" quotePrefix="0" xfId="1"/>
    <xf numFmtId="0" fontId="4" fillId="0" borderId="0" applyAlignment="1" pivotButton="0" quotePrefix="0" xfId="0">
      <alignment horizontal="center" vertical="center" textRotation="45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4" fillId="3" borderId="0" applyAlignment="1" pivotButton="0" quotePrefix="0" xfId="1">
      <alignment textRotation="45"/>
    </xf>
    <xf numFmtId="164" fontId="0" fillId="0" borderId="0" applyAlignment="1" pivotButton="0" quotePrefix="0" xfId="1">
      <alignment textRotation="45"/>
    </xf>
    <xf numFmtId="165" fontId="0" fillId="0" borderId="0" applyAlignment="1" pivotButton="0" quotePrefix="0" xfId="0">
      <alignment textRotation="45"/>
    </xf>
    <xf numFmtId="164" fontId="0" fillId="0" borderId="0" pivotButton="0" quotePrefix="0" xfId="1"/>
    <xf numFmtId="165" fontId="0" fillId="0" borderId="0" pivotButton="0" quotePrefix="0" xfId="0"/>
    <xf numFmtId="164" fontId="2" fillId="0" borderId="0" pivotButton="0" quotePrefix="0" xfId="1"/>
    <xf numFmtId="0" fontId="10" fillId="0" borderId="1" pivotButton="0" quotePrefix="0" xfId="0"/>
    <xf numFmtId="164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6" fillId="7" borderId="2" applyAlignment="1" pivotButton="0" quotePrefix="0" xfId="0">
      <alignment horizontal="center" vertical="center"/>
    </xf>
    <xf numFmtId="0" fontId="0" fillId="7" borderId="2" pivotButton="0" quotePrefix="0" xfId="0"/>
    <xf numFmtId="3" fontId="17" fillId="7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3" fontId="12" fillId="0" borderId="2" applyAlignment="1" pivotButton="0" quotePrefix="0" xfId="0">
      <alignment horizontal="right" vertical="center"/>
    </xf>
    <xf numFmtId="166" fontId="12" fillId="0" borderId="2" applyAlignment="1" pivotButton="0" quotePrefix="0" xfId="0">
      <alignment horizontal="right" vertical="center"/>
    </xf>
    <xf numFmtId="2" fontId="12" fillId="0" borderId="2" applyAlignment="1" pivotButton="0" quotePrefix="0" xfId="0">
      <alignment horizontal="right" vertical="center"/>
    </xf>
    <xf numFmtId="4" fontId="12" fillId="0" borderId="2" applyAlignment="1" pivotButton="0" quotePrefix="0" xfId="0">
      <alignment horizontal="right" vertical="center"/>
    </xf>
    <xf numFmtId="0" fontId="13" fillId="6" borderId="3" applyAlignment="1" pivotButton="0" quotePrefix="0" xfId="0">
      <alignment horizontal="center" vertical="center"/>
    </xf>
    <xf numFmtId="0" fontId="0" fillId="6" borderId="3" pivotButton="0" quotePrefix="0" xfId="0"/>
    <xf numFmtId="3" fontId="13" fillId="6" borderId="3" applyAlignment="1" pivotButton="0" quotePrefix="0" xfId="0">
      <alignment horizontal="right" vertical="center"/>
    </xf>
    <xf numFmtId="166" fontId="13" fillId="6" borderId="3" applyAlignment="1" pivotButton="0" quotePrefix="0" xfId="0">
      <alignment horizontal="right" vertical="center"/>
    </xf>
    <xf numFmtId="2" fontId="13" fillId="6" borderId="3" applyAlignment="1" pivotButton="0" quotePrefix="0" xfId="0">
      <alignment horizontal="right" vertical="center"/>
    </xf>
    <xf numFmtId="4" fontId="13" fillId="6" borderId="3" applyAlignment="1" pivotButton="0" quotePrefix="0" xfId="0">
      <alignment horizontal="right" vertical="center"/>
    </xf>
    <xf numFmtId="164" fontId="11" fillId="4" borderId="2" applyAlignment="1" pivotButton="0" quotePrefix="0" xfId="1">
      <alignment horizontal="center" vertical="center"/>
    </xf>
    <xf numFmtId="165" fontId="11" fillId="4" borderId="2" applyAlignment="1" pivotButton="0" quotePrefix="0" xfId="0">
      <alignment horizontal="center" vertical="center"/>
    </xf>
    <xf numFmtId="3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4" fontId="12" fillId="0" borderId="2" applyAlignment="1" pivotButton="0" quotePrefix="0" xfId="1">
      <alignment horizontal="right" vertical="center"/>
    </xf>
    <xf numFmtId="3" fontId="12" fillId="0" borderId="2" applyAlignment="1" pivotButton="0" quotePrefix="0" xfId="1">
      <alignment horizontal="right" vertical="center"/>
    </xf>
    <xf numFmtId="0" fontId="12" fillId="5" borderId="2" applyAlignment="1" pivotButton="0" quotePrefix="0" xfId="0">
      <alignment horizontal="center" vertical="center"/>
    </xf>
    <xf numFmtId="3" fontId="12" fillId="5" borderId="2" applyAlignment="1" pivotButton="0" quotePrefix="0" xfId="0">
      <alignment horizontal="right" vertical="center"/>
    </xf>
    <xf numFmtId="3" fontId="12" fillId="5" borderId="2" applyAlignment="1" pivotButton="0" quotePrefix="0" xfId="0">
      <alignment horizontal="center" vertical="center"/>
    </xf>
    <xf numFmtId="2" fontId="12" fillId="5" borderId="2" applyAlignment="1" pivotButton="0" quotePrefix="0" xfId="0">
      <alignment horizontal="right" vertical="center"/>
    </xf>
    <xf numFmtId="0" fontId="12" fillId="5" borderId="2" applyAlignment="1" pivotButton="0" quotePrefix="0" xfId="0">
      <alignment horizontal="left" vertical="center"/>
    </xf>
    <xf numFmtId="166" fontId="12" fillId="5" borderId="2" applyAlignment="1" pivotButton="0" quotePrefix="0" xfId="0">
      <alignment horizontal="right" vertical="center"/>
    </xf>
    <xf numFmtId="4" fontId="12" fillId="5" borderId="2" applyAlignment="1" pivotButton="0" quotePrefix="0" xfId="1">
      <alignment horizontal="right" vertical="center"/>
    </xf>
    <xf numFmtId="3" fontId="12" fillId="5" borderId="2" applyAlignment="1" pivotButton="0" quotePrefix="0" xfId="1">
      <alignment horizontal="right" vertical="center"/>
    </xf>
    <xf numFmtId="0" fontId="13" fillId="6" borderId="3" applyAlignment="1" pivotButton="0" quotePrefix="0" xfId="0">
      <alignment horizontal="left" vertical="center"/>
    </xf>
    <xf numFmtId="3" fontId="13" fillId="0" borderId="2" applyAlignment="1" pivotButton="0" quotePrefix="0" xfId="0">
      <alignment horizontal="right" vertical="center"/>
    </xf>
    <xf numFmtId="0" fontId="13" fillId="5" borderId="2" applyAlignment="1" pivotButton="0" quotePrefix="0" xfId="0">
      <alignment horizontal="center" vertical="center"/>
    </xf>
    <xf numFmtId="3" fontId="13" fillId="5" borderId="2" applyAlignment="1" pivotButton="0" quotePrefix="0" xfId="0">
      <alignment horizontal="right" vertical="center"/>
    </xf>
    <xf numFmtId="0" fontId="13" fillId="6" borderId="2" applyAlignment="1" pivotButton="0" quotePrefix="0" xfId="0">
      <alignment horizontal="left" vertical="center"/>
    </xf>
    <xf numFmtId="0" fontId="0" fillId="6" borderId="2" pivotButton="0" quotePrefix="0" xfId="0"/>
    <xf numFmtId="3" fontId="13" fillId="6" borderId="2" applyAlignment="1" pivotButton="0" quotePrefix="0" xfId="0">
      <alignment horizontal="right" vertical="center"/>
    </xf>
    <xf numFmtId="0" fontId="12" fillId="6" borderId="2" pivotButton="0" quotePrefix="0" xfId="0"/>
  </cellXfs>
  <cellStyles count="2">
    <cellStyle name="Standaard" xfId="0" builtinId="0"/>
    <cellStyle name="Valut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2" customWidth="1" min="4" max="4"/>
    <col width="18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11" customWidth="1" min="11" max="11"/>
    <col width="11" customWidth="1" min="12" max="12"/>
    <col width="25" customWidth="1" min="13" max="13"/>
    <col width="11" customWidth="1" min="14" max="14"/>
  </cols>
  <sheetData>
    <row r="1">
      <c r="A1" s="33" t="inlineStr">
        <is>
          <t>Lostock Fabric — Meetstaten Samenvatting</t>
        </is>
      </c>
    </row>
    <row r="2">
      <c r="A2" s="34" t="inlineStr">
        <is>
          <t>Productie- en inmeetgegevens isolatiematrassen (SIB Isolatie / Hotrema)</t>
        </is>
      </c>
    </row>
    <row r="3"/>
    <row r="4">
      <c r="A4" s="35" t="inlineStr">
        <is>
          <t>Opdrachtgever:</t>
        </is>
      </c>
      <c r="B4" s="36" t="inlineStr">
        <is>
          <t>Hotrema</t>
        </is>
      </c>
      <c r="D4" s="37" t="inlineStr">
        <is>
          <t>PROJECT TOTAAL (ST.)</t>
        </is>
      </c>
      <c r="E4" s="38" t="n"/>
      <c r="G4" s="37" t="inlineStr">
        <is>
          <t>AANTAL MATRASSEN (ST.)</t>
        </is>
      </c>
      <c r="H4" s="38" t="n"/>
      <c r="J4" s="37" t="inlineStr">
        <is>
          <t>AANTAL PETTEN</t>
        </is>
      </c>
      <c r="K4" s="38" t="n"/>
      <c r="M4" s="37" t="inlineStr">
        <is>
          <t>DATABASE DETAILS (ST.)</t>
        </is>
      </c>
      <c r="N4" s="38" t="n"/>
    </row>
    <row r="5">
      <c r="A5" s="35" t="inlineStr">
        <is>
          <t>Project:</t>
        </is>
      </c>
      <c r="B5" s="36" t="inlineStr">
        <is>
          <t>Lostock Fabric</t>
        </is>
      </c>
      <c r="D5" s="39">
        <f>'Meetstaten Pagina's'!G47</f>
        <v/>
      </c>
      <c r="E5" s="38" t="n"/>
      <c r="G5" s="39">
        <f>'Meetstaten Pagina's'!E47</f>
        <v/>
      </c>
      <c r="H5" s="38" t="n"/>
      <c r="J5" s="39">
        <f>'Meetstaten Pagina's'!F47</f>
        <v/>
      </c>
      <c r="K5" s="38" t="n"/>
      <c r="M5" s="39">
        <f>'Meetstaten Details'!B172</f>
        <v/>
      </c>
      <c r="N5" s="38" t="n"/>
    </row>
    <row r="6">
      <c r="A6" s="35" t="inlineStr">
        <is>
          <t>Uitvoering:</t>
        </is>
      </c>
      <c r="B6" s="36" t="inlineStr">
        <is>
          <t>Sil-HT700-wol</t>
        </is>
      </c>
      <c r="D6" s="38" t="n"/>
      <c r="E6" s="38" t="n"/>
      <c r="G6" s="38" t="n"/>
      <c r="H6" s="38" t="n"/>
      <c r="J6" s="38" t="n"/>
      <c r="K6" s="38" t="n"/>
      <c r="M6" s="38" t="n"/>
      <c r="N6" s="38" t="n"/>
    </row>
    <row r="7">
      <c r="A7" s="35" t="inlineStr">
        <is>
          <t>Inmeters:</t>
        </is>
      </c>
      <c r="B7" s="36" t="inlineStr">
        <is>
          <t>JV &amp; RdW (Ron de Wit)</t>
        </is>
      </c>
    </row>
    <row r="8">
      <c r="A8" s="35" t="inlineStr">
        <is>
          <t>Inmeetperiode:</t>
        </is>
      </c>
      <c r="B8" s="36" t="inlineStr">
        <is>
          <t>9 juni 2026 t/m 12 juni 2026</t>
        </is>
      </c>
    </row>
    <row r="9">
      <c r="A9" s="35" t="inlineStr">
        <is>
          <t>Rapportagedatum:</t>
        </is>
      </c>
      <c r="B9" s="36" t="inlineStr">
        <is>
          <t>23 juni 2026</t>
        </is>
      </c>
    </row>
    <row r="10"/>
    <row r="11"/>
    <row r="12">
      <c r="A12" s="40" t="inlineStr">
        <is>
          <t>Dag</t>
        </is>
      </c>
      <c r="B12" s="40" t="inlineStr">
        <is>
          <t>Datum</t>
        </is>
      </c>
      <c r="C12" s="40" t="inlineStr">
        <is>
          <t>Project Totaal (st.)</t>
        </is>
      </c>
      <c r="D12" s="40" t="inlineStr">
        <is>
          <t>Database Details (st.)</t>
        </is>
      </c>
      <c r="E12" s="40" t="inlineStr">
        <is>
          <t>m2 Details (m2)</t>
        </is>
      </c>
      <c r="F12" s="40" t="inlineStr">
        <is>
          <t>Gewicht Details (kg)</t>
        </is>
      </c>
      <c r="G12" s="40" t="inlineStr">
        <is>
          <t>Waarde Details (€)</t>
        </is>
      </c>
    </row>
    <row r="13">
      <c r="A13" s="41" t="inlineStr">
        <is>
          <t>1e dag</t>
        </is>
      </c>
      <c r="B13" s="42" t="inlineStr">
        <is>
          <t>09-06-2026</t>
        </is>
      </c>
      <c r="C13" s="43" t="n">
        <v>519</v>
      </c>
      <c r="D13" s="43">
        <f>SUMIFS('Meetstaten Details'!B$4:B$171, 'Meetstaten Details'!R$4:R$171, "09-06-2026")</f>
        <v/>
      </c>
      <c r="E13" s="44">
        <f>SUMIFS('Meetstaten Details'!K$4:K$171, 'Meetstaten Details'!R$4:R$171, "09-06-2026")</f>
        <v/>
      </c>
      <c r="F13" s="45">
        <f>SUMIFS('Meetstaten Details'!P$4:P$171, 'Meetstaten Details'!R$4:R$171, "09-06-2026")</f>
        <v/>
      </c>
      <c r="G13" s="46">
        <f>SUMIFS('Meetstaten Details'!O$4:O$171, 'Meetstaten Details'!R$4:R$171, "09-06-2026")</f>
        <v/>
      </c>
    </row>
    <row r="14">
      <c r="A14" s="41" t="inlineStr">
        <is>
          <t>2e dag</t>
        </is>
      </c>
      <c r="B14" s="42" t="inlineStr">
        <is>
          <t>10-06-2026</t>
        </is>
      </c>
      <c r="C14" s="43" t="n">
        <v>339</v>
      </c>
      <c r="D14" s="43">
        <f>SUMIFS('Meetstaten Details'!B$4:B$171, 'Meetstaten Details'!R$4:R$171, "10-06-2026")</f>
        <v/>
      </c>
      <c r="E14" s="44">
        <f>SUMIFS('Meetstaten Details'!K$4:K$171, 'Meetstaten Details'!R$4:R$171, "10-06-2026")</f>
        <v/>
      </c>
      <c r="F14" s="45">
        <f>SUMIFS('Meetstaten Details'!P$4:P$171, 'Meetstaten Details'!R$4:R$171, "10-06-2026")</f>
        <v/>
      </c>
      <c r="G14" s="46">
        <f>SUMIFS('Meetstaten Details'!O$4:O$171, 'Meetstaten Details'!R$4:R$171, "10-06-2026")</f>
        <v/>
      </c>
    </row>
    <row r="15">
      <c r="A15" s="41" t="inlineStr">
        <is>
          <t>3e dag</t>
        </is>
      </c>
      <c r="B15" s="42" t="inlineStr">
        <is>
          <t>11-06-2026</t>
        </is>
      </c>
      <c r="C15" s="43" t="n">
        <v>520</v>
      </c>
      <c r="D15" s="43">
        <f>SUMIFS('Meetstaten Details'!B$4:B$171, 'Meetstaten Details'!R$4:R$171, "11-06-2026")</f>
        <v/>
      </c>
      <c r="E15" s="44">
        <f>SUMIFS('Meetstaten Details'!K$4:K$171, 'Meetstaten Details'!R$4:R$171, "11-06-2026")</f>
        <v/>
      </c>
      <c r="F15" s="45">
        <f>SUMIFS('Meetstaten Details'!P$4:P$171, 'Meetstaten Details'!R$4:R$171, "11-06-2026")</f>
        <v/>
      </c>
      <c r="G15" s="46">
        <f>SUMIFS('Meetstaten Details'!O$4:O$171, 'Meetstaten Details'!R$4:R$171, "11-06-2026")</f>
        <v/>
      </c>
    </row>
    <row r="16">
      <c r="A16" s="41" t="inlineStr">
        <is>
          <t>4e dag</t>
        </is>
      </c>
      <c r="B16" s="42" t="inlineStr">
        <is>
          <t>12-06-2026</t>
        </is>
      </c>
      <c r="C16" s="43" t="n">
        <v>185</v>
      </c>
      <c r="D16" s="43">
        <f>SUMIFS('Meetstaten Details'!B$4:B$171, 'Meetstaten Details'!R$4:R$171, "12-06-2026")</f>
        <v/>
      </c>
      <c r="E16" s="44">
        <f>SUMIFS('Meetstaten Details'!K$4:K$171, 'Meetstaten Details'!R$4:R$171, "12-06-2026")</f>
        <v/>
      </c>
      <c r="F16" s="45">
        <f>SUMIFS('Meetstaten Details'!P$4:P$171, 'Meetstaten Details'!R$4:R$171, "12-06-2026")</f>
        <v/>
      </c>
      <c r="G16" s="46">
        <f>SUMIFS('Meetstaten Details'!O$4:O$171, 'Meetstaten Details'!R$4:R$171, "12-06-2026")</f>
        <v/>
      </c>
    </row>
    <row r="17">
      <c r="A17" s="47" t="inlineStr">
        <is>
          <t>Totaal</t>
        </is>
      </c>
      <c r="B17" s="48" t="inlineStr"/>
      <c r="C17" s="49">
        <f>SUM(C13:C16)</f>
        <v/>
      </c>
      <c r="D17" s="49">
        <f>SUM(D13:D16)</f>
        <v/>
      </c>
      <c r="E17" s="50">
        <f>SUM(E13:E16)</f>
        <v/>
      </c>
      <c r="F17" s="51">
        <f>SUM(F13:F16)</f>
        <v/>
      </c>
      <c r="G17" s="52">
        <f>SUM(G13:G16)</f>
        <v/>
      </c>
    </row>
  </sheetData>
  <mergeCells count="8">
    <mergeCell ref="G4:H4"/>
    <mergeCell ref="J4:K4"/>
    <mergeCell ref="D5:E6"/>
    <mergeCell ref="G5:H6"/>
    <mergeCell ref="D4:E4"/>
    <mergeCell ref="M5:N6"/>
    <mergeCell ref="J5:K6"/>
    <mergeCell ref="M4:N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showGridLines="1" tabSelected="1" topLeftCell="A51" workbookViewId="0">
      <selection activeCell="Q78" sqref="Q78"/>
    </sheetView>
  </sheetViews>
  <sheetFormatPr baseColWidth="10" defaultRowHeight="16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3" customWidth="1" style="21" min="6" max="6"/>
    <col width="18" customWidth="1" min="7" max="7"/>
    <col width="10" customWidth="1" min="8" max="8"/>
    <col width="13" customWidth="1" min="9" max="9"/>
    <col width="13" customWidth="1" min="10" max="10"/>
    <col width="13" customWidth="1" min="11" max="11"/>
    <col width="10" customWidth="1" min="12" max="12"/>
    <col width="13" customWidth="1" min="13" max="13"/>
    <col width="13" customWidth="1" min="14" max="14"/>
    <col width="13" bestFit="1" customWidth="1" min="15" max="15"/>
    <col width="13" customWidth="1" min="16" max="16"/>
    <col width="15" customWidth="1" min="17" max="17"/>
    <col width="13" customWidth="1" min="18" max="18"/>
    <col width="10" customWidth="1" min="19" max="19"/>
    <col width="12" customWidth="1" min="20" max="20"/>
    <col width="12" customWidth="1" min="21" max="21"/>
  </cols>
  <sheetData>
    <row r="1" ht="54" customHeight="1">
      <c r="A1" s="1" t="n">
        <v>46185</v>
      </c>
      <c r="B1" s="2" t="n"/>
      <c r="C1" s="2" t="n"/>
      <c r="D1" s="3" t="n"/>
      <c r="E1" s="3" t="n"/>
      <c r="F1" s="19" t="n"/>
      <c r="G1" s="3" t="inlineStr">
        <is>
          <t>Location</t>
        </is>
      </c>
      <c r="H1" s="3" t="n"/>
      <c r="I1" s="3" t="n"/>
      <c r="J1" s="25" t="n">
        <v>170</v>
      </c>
      <c r="K1" s="5" t="n"/>
      <c r="L1" s="6" t="n"/>
      <c r="M1" s="26" t="n"/>
      <c r="N1" s="27" t="n"/>
      <c r="O1" s="28" t="n"/>
    </row>
    <row r="2">
      <c r="A2" s="10" t="n"/>
      <c r="B2" s="11" t="n"/>
      <c r="C2" s="11" t="n"/>
      <c r="D2" s="12" t="n"/>
      <c r="E2" s="12" t="n"/>
      <c r="F2" s="20" t="n"/>
      <c r="G2" s="12" t="n"/>
      <c r="H2" s="12" t="n"/>
      <c r="I2" s="12" t="n"/>
      <c r="J2" s="12" t="n"/>
      <c r="K2" s="12" t="n"/>
      <c r="L2" t="inlineStr">
        <is>
          <t>prijs</t>
        </is>
      </c>
      <c r="M2" s="28" t="n"/>
      <c r="N2" s="29" t="n"/>
      <c r="O2" s="30" t="inlineStr">
        <is>
          <t>PRIJS</t>
        </is>
      </c>
      <c r="P2" s="12" t="n"/>
    </row>
    <row r="3" ht="22" customHeight="1">
      <c r="A3" s="40" t="inlineStr">
        <is>
          <t>nummer</t>
        </is>
      </c>
      <c r="B3" s="40" t="inlineStr">
        <is>
          <t>Aantal</t>
        </is>
      </c>
      <c r="C3" s="40" t="inlineStr">
        <is>
          <t>nummer</t>
        </is>
      </c>
      <c r="D3" s="40" t="inlineStr">
        <is>
          <t>omvang</t>
        </is>
      </c>
      <c r="E3" s="40" t="inlineStr">
        <is>
          <t>hoogte</t>
        </is>
      </c>
      <c r="F3" s="40" t="inlineStr">
        <is>
          <t>Gesp/haken</t>
        </is>
      </c>
      <c r="G3" s="40" t="n"/>
      <c r="H3" s="40" t="n"/>
      <c r="I3" s="40" t="n"/>
      <c r="J3" s="40" t="n"/>
      <c r="K3" s="40" t="inlineStr">
        <is>
          <t>m2</t>
        </is>
      </c>
      <c r="L3" s="40" t="n"/>
      <c r="M3" s="53" t="n"/>
      <c r="N3" s="54" t="inlineStr">
        <is>
          <t>labels</t>
        </is>
      </c>
      <c r="O3" s="53" t="n"/>
      <c r="P3" s="40" t="inlineStr">
        <is>
          <t>kg</t>
        </is>
      </c>
      <c r="Q3" s="40" t="inlineStr">
        <is>
          <t>Verdieping</t>
        </is>
      </c>
      <c r="R3" s="40" t="inlineStr">
        <is>
          <t>Datum</t>
        </is>
      </c>
      <c r="S3" s="40" t="inlineStr">
        <is>
          <t>Inmeter</t>
        </is>
      </c>
      <c r="T3" s="40" t="inlineStr">
        <is>
          <t>Bovendoek</t>
        </is>
      </c>
      <c r="U3" s="40" t="inlineStr">
        <is>
          <t>Onderdoek</t>
        </is>
      </c>
    </row>
    <row r="4">
      <c r="A4" s="42" t="inlineStr">
        <is>
          <t>Lostock Fabric</t>
        </is>
      </c>
      <c r="B4" s="43" t="n">
        <v>2</v>
      </c>
      <c r="C4" s="55" t="n">
        <v>278</v>
      </c>
      <c r="D4" s="45" t="n">
        <v>1.1</v>
      </c>
      <c r="E4" s="45" t="n">
        <v>0.55</v>
      </c>
      <c r="F4" s="56" t="inlineStr">
        <is>
          <t>G</t>
        </is>
      </c>
      <c r="G4" s="56" t="inlineStr">
        <is>
          <t>Turbine Hall</t>
        </is>
      </c>
      <c r="H4" s="56" t="n"/>
      <c r="I4" s="45">
        <f>D4+0.03</f>
        <v/>
      </c>
      <c r="J4" s="45">
        <f>E4+0.03</f>
        <v/>
      </c>
      <c r="K4" s="44">
        <f>B4*I4*J4</f>
        <v/>
      </c>
      <c r="L4" s="43" t="n">
        <v>190</v>
      </c>
      <c r="M4" s="57">
        <f>K4*L4</f>
        <v/>
      </c>
      <c r="N4" s="58">
        <f>B4*2</f>
        <v/>
      </c>
      <c r="O4" s="57">
        <f>M4+N4</f>
        <v/>
      </c>
      <c r="P4" s="45">
        <f>K4*7.12</f>
        <v/>
      </c>
      <c r="Q4" s="56" t="inlineStr">
        <is>
          <t>Turbine Hall</t>
        </is>
      </c>
      <c r="R4" s="42" t="inlineStr">
        <is>
          <t>12-06-2026</t>
        </is>
      </c>
      <c r="S4" s="42" t="inlineStr">
        <is>
          <t>Ron</t>
        </is>
      </c>
      <c r="T4" s="56" t="inlineStr">
        <is>
          <t>N/A</t>
        </is>
      </c>
      <c r="U4" s="56" t="inlineStr">
        <is>
          <t>N/A</t>
        </is>
      </c>
    </row>
    <row r="5">
      <c r="A5" s="59" t="inlineStr">
        <is>
          <t>Lostock Fabric</t>
        </is>
      </c>
      <c r="B5" s="60" t="n">
        <v>2</v>
      </c>
      <c r="C5" s="61" t="n">
        <v>279</v>
      </c>
      <c r="D5" s="62" t="n">
        <v>1.1</v>
      </c>
      <c r="E5" s="62" t="n">
        <v>0.45</v>
      </c>
      <c r="F5" s="63" t="inlineStr">
        <is>
          <t>G</t>
        </is>
      </c>
      <c r="G5" s="63" t="inlineStr">
        <is>
          <t>Turbine Hall</t>
        </is>
      </c>
      <c r="H5" s="63" t="n"/>
      <c r="I5" s="62">
        <f>D5+0.03</f>
        <v/>
      </c>
      <c r="J5" s="62">
        <f>E5+0.03</f>
        <v/>
      </c>
      <c r="K5" s="64">
        <f>B5*I5*J5</f>
        <v/>
      </c>
      <c r="L5" s="60" t="n">
        <v>190</v>
      </c>
      <c r="M5" s="65">
        <f>K5*L5</f>
        <v/>
      </c>
      <c r="N5" s="66">
        <f>B5*2</f>
        <v/>
      </c>
      <c r="O5" s="65">
        <f>M5+N5</f>
        <v/>
      </c>
      <c r="P5" s="62">
        <f>K5*7.12</f>
        <v/>
      </c>
      <c r="Q5" s="63" t="inlineStr">
        <is>
          <t>Turbine Hall</t>
        </is>
      </c>
      <c r="R5" s="59" t="inlineStr">
        <is>
          <t>12-06-2026</t>
        </is>
      </c>
      <c r="S5" s="59" t="inlineStr">
        <is>
          <t>Ron</t>
        </is>
      </c>
      <c r="T5" s="63" t="inlineStr">
        <is>
          <t>N/A</t>
        </is>
      </c>
      <c r="U5" s="63" t="inlineStr">
        <is>
          <t>N/A</t>
        </is>
      </c>
    </row>
    <row r="6">
      <c r="A6" s="42" t="inlineStr">
        <is>
          <t>Lostock Fabric</t>
        </is>
      </c>
      <c r="B6" s="43" t="n">
        <v>2</v>
      </c>
      <c r="C6" s="55" t="n">
        <v>280</v>
      </c>
      <c r="D6" s="45" t="n">
        <v>1.1</v>
      </c>
      <c r="E6" s="45" t="n">
        <v>0.68</v>
      </c>
      <c r="F6" s="56" t="inlineStr">
        <is>
          <t>G</t>
        </is>
      </c>
      <c r="G6" s="56" t="inlineStr">
        <is>
          <t>Turbine Hall</t>
        </is>
      </c>
      <c r="H6" s="56" t="n"/>
      <c r="I6" s="45">
        <f>D6+0.03</f>
        <v/>
      </c>
      <c r="J6" s="45">
        <f>E6+0.03</f>
        <v/>
      </c>
      <c r="K6" s="44">
        <f>B6*I6*J6</f>
        <v/>
      </c>
      <c r="L6" s="43" t="n">
        <v>190</v>
      </c>
      <c r="M6" s="57">
        <f>K6*L6</f>
        <v/>
      </c>
      <c r="N6" s="58">
        <f>B6*2</f>
        <v/>
      </c>
      <c r="O6" s="57">
        <f>M6+N6</f>
        <v/>
      </c>
      <c r="P6" s="45">
        <f>K6*7.12</f>
        <v/>
      </c>
      <c r="Q6" s="56" t="inlineStr">
        <is>
          <t>Turbine Hall</t>
        </is>
      </c>
      <c r="R6" s="42" t="inlineStr">
        <is>
          <t>12-06-2026</t>
        </is>
      </c>
      <c r="S6" s="42" t="inlineStr">
        <is>
          <t>Ron</t>
        </is>
      </c>
      <c r="T6" s="56" t="inlineStr">
        <is>
          <t>N/A</t>
        </is>
      </c>
      <c r="U6" s="56" t="inlineStr">
        <is>
          <t>N/A</t>
        </is>
      </c>
    </row>
    <row r="7">
      <c r="A7" s="59" t="inlineStr">
        <is>
          <t>Lostock Fabric</t>
        </is>
      </c>
      <c r="B7" s="60" t="n">
        <v>1</v>
      </c>
      <c r="C7" s="61" t="n">
        <v>281</v>
      </c>
      <c r="D7" s="62" t="n">
        <v>1.8</v>
      </c>
      <c r="E7" s="62" t="n">
        <v>0.36</v>
      </c>
      <c r="F7" s="63" t="inlineStr">
        <is>
          <t>G/H</t>
        </is>
      </c>
      <c r="G7" s="63" t="inlineStr">
        <is>
          <t>Turbine Hall</t>
        </is>
      </c>
      <c r="H7" s="63" t="n"/>
      <c r="I7" s="62">
        <f>D7+0.03</f>
        <v/>
      </c>
      <c r="J7" s="62">
        <f>E7+0.03</f>
        <v/>
      </c>
      <c r="K7" s="64">
        <f>B7*I7*J7</f>
        <v/>
      </c>
      <c r="L7" s="60" t="n">
        <v>190</v>
      </c>
      <c r="M7" s="65">
        <f>K7*L7</f>
        <v/>
      </c>
      <c r="N7" s="66">
        <f>B7*2</f>
        <v/>
      </c>
      <c r="O7" s="65">
        <f>M7+N7</f>
        <v/>
      </c>
      <c r="P7" s="62">
        <f>K7*7.12</f>
        <v/>
      </c>
      <c r="Q7" s="63" t="inlineStr">
        <is>
          <t>Turbine Hall</t>
        </is>
      </c>
      <c r="R7" s="59" t="inlineStr">
        <is>
          <t>12-06-2026</t>
        </is>
      </c>
      <c r="S7" s="59" t="inlineStr">
        <is>
          <t>Peter</t>
        </is>
      </c>
      <c r="T7" s="63" t="inlineStr">
        <is>
          <t>log</t>
        </is>
      </c>
      <c r="U7" s="63" t="inlineStr">
        <is>
          <t>N/A</t>
        </is>
      </c>
    </row>
    <row r="8">
      <c r="A8" s="42" t="inlineStr">
        <is>
          <t>Lostock Fabric</t>
        </is>
      </c>
      <c r="B8" s="43" t="n">
        <v>1</v>
      </c>
      <c r="C8" s="55" t="n">
        <v>281</v>
      </c>
      <c r="D8" s="45" t="n">
        <v>0.57</v>
      </c>
      <c r="E8" s="45" t="n">
        <v>0.57</v>
      </c>
      <c r="F8" s="56" t="inlineStr">
        <is>
          <t>G/H</t>
        </is>
      </c>
      <c r="G8" s="56" t="inlineStr">
        <is>
          <t>Turbine Hall</t>
        </is>
      </c>
      <c r="H8" s="56" t="n"/>
      <c r="I8" s="45">
        <f>D8+0.03</f>
        <v/>
      </c>
      <c r="J8" s="45">
        <f>E8+0.03</f>
        <v/>
      </c>
      <c r="K8" s="44">
        <f>B8*I8*J8</f>
        <v/>
      </c>
      <c r="L8" s="43" t="n">
        <v>190</v>
      </c>
      <c r="M8" s="57">
        <f>K8*L8</f>
        <v/>
      </c>
      <c r="N8" s="58">
        <f>B8*2</f>
        <v/>
      </c>
      <c r="O8" s="57">
        <f>M8+N8</f>
        <v/>
      </c>
      <c r="P8" s="45">
        <f>K8*7.12</f>
        <v/>
      </c>
      <c r="Q8" s="56" t="inlineStr">
        <is>
          <t>Turbine Hall</t>
        </is>
      </c>
      <c r="R8" s="42" t="inlineStr">
        <is>
          <t>12-06-2026</t>
        </is>
      </c>
      <c r="S8" s="42" t="inlineStr">
        <is>
          <t>Peter</t>
        </is>
      </c>
      <c r="T8" s="56" t="inlineStr">
        <is>
          <t>log</t>
        </is>
      </c>
      <c r="U8" s="56" t="inlineStr">
        <is>
          <t>N/A</t>
        </is>
      </c>
    </row>
    <row r="9">
      <c r="A9" s="59" t="inlineStr">
        <is>
          <t>Lostock Fabric</t>
        </is>
      </c>
      <c r="B9" s="60" t="n">
        <v>1</v>
      </c>
      <c r="C9" s="61" t="n">
        <v>282</v>
      </c>
      <c r="D9" s="62" t="n">
        <v>0.36</v>
      </c>
      <c r="E9" s="62" t="n">
        <v>0.3</v>
      </c>
      <c r="F9" s="63" t="inlineStr">
        <is>
          <t>H</t>
        </is>
      </c>
      <c r="G9" s="63" t="inlineStr">
        <is>
          <t>Turbine Hall</t>
        </is>
      </c>
      <c r="H9" s="63" t="n"/>
      <c r="I9" s="62">
        <f>D9+0.03</f>
        <v/>
      </c>
      <c r="J9" s="62">
        <f>E9+0.03</f>
        <v/>
      </c>
      <c r="K9" s="64">
        <f>B9*I9*J9</f>
        <v/>
      </c>
      <c r="L9" s="60" t="n">
        <v>190</v>
      </c>
      <c r="M9" s="65">
        <f>K9*L9</f>
        <v/>
      </c>
      <c r="N9" s="66">
        <f>B9*2</f>
        <v/>
      </c>
      <c r="O9" s="65">
        <f>M9+N9</f>
        <v/>
      </c>
      <c r="P9" s="62">
        <f>K9*7.12</f>
        <v/>
      </c>
      <c r="Q9" s="63" t="inlineStr">
        <is>
          <t>Turbine Hall</t>
        </is>
      </c>
      <c r="R9" s="59" t="inlineStr">
        <is>
          <t>12-06-2026</t>
        </is>
      </c>
      <c r="S9" s="59" t="inlineStr">
        <is>
          <t>Ron</t>
        </is>
      </c>
      <c r="T9" s="63" t="inlineStr">
        <is>
          <t>N/A</t>
        </is>
      </c>
      <c r="U9" s="63" t="inlineStr">
        <is>
          <t>N/A</t>
        </is>
      </c>
    </row>
    <row r="10">
      <c r="A10" s="42" t="inlineStr">
        <is>
          <t>Lostock Fabric</t>
        </is>
      </c>
      <c r="B10" s="43" t="n">
        <v>1</v>
      </c>
      <c r="C10" s="55" t="n">
        <v>283</v>
      </c>
      <c r="D10" s="45" t="n">
        <v>0.36</v>
      </c>
      <c r="E10" s="45" t="n">
        <v>0.26</v>
      </c>
      <c r="F10" s="56" t="inlineStr">
        <is>
          <t>H</t>
        </is>
      </c>
      <c r="G10" s="56" t="inlineStr">
        <is>
          <t>Turbine Hall</t>
        </is>
      </c>
      <c r="H10" s="56" t="n"/>
      <c r="I10" s="45">
        <f>D10+0.03</f>
        <v/>
      </c>
      <c r="J10" s="45">
        <f>E10+0.03</f>
        <v/>
      </c>
      <c r="K10" s="44">
        <f>B10*I10*J10</f>
        <v/>
      </c>
      <c r="L10" s="43" t="n">
        <v>190</v>
      </c>
      <c r="M10" s="57">
        <f>K10*L10</f>
        <v/>
      </c>
      <c r="N10" s="58">
        <f>B10*2</f>
        <v/>
      </c>
      <c r="O10" s="57">
        <f>M10+N10</f>
        <v/>
      </c>
      <c r="P10" s="45">
        <f>K10*7.12</f>
        <v/>
      </c>
      <c r="Q10" s="56" t="inlineStr">
        <is>
          <t>Turbine Hall</t>
        </is>
      </c>
      <c r="R10" s="42" t="inlineStr">
        <is>
          <t>12-06-2026</t>
        </is>
      </c>
      <c r="S10" s="42" t="inlineStr">
        <is>
          <t>Ron</t>
        </is>
      </c>
      <c r="T10" s="56" t="inlineStr">
        <is>
          <t>N/A</t>
        </is>
      </c>
      <c r="U10" s="56" t="inlineStr">
        <is>
          <t>N/A</t>
        </is>
      </c>
    </row>
    <row r="11">
      <c r="A11" s="59" t="inlineStr">
        <is>
          <t>Lostock Fabric</t>
        </is>
      </c>
      <c r="B11" s="60" t="n">
        <v>1</v>
      </c>
      <c r="C11" s="61" t="n">
        <v>284</v>
      </c>
      <c r="D11" s="62" t="n">
        <v>0.36</v>
      </c>
      <c r="E11" s="62" t="n">
        <v>0.46</v>
      </c>
      <c r="F11" s="63" t="inlineStr">
        <is>
          <t>H</t>
        </is>
      </c>
      <c r="G11" s="63" t="inlineStr">
        <is>
          <t>Turbine Hall</t>
        </is>
      </c>
      <c r="H11" s="63" t="n"/>
      <c r="I11" s="62">
        <f>D11+0.03</f>
        <v/>
      </c>
      <c r="J11" s="62">
        <f>E11+0.03</f>
        <v/>
      </c>
      <c r="K11" s="64">
        <f>B11*I11*J11</f>
        <v/>
      </c>
      <c r="L11" s="60" t="n">
        <v>190</v>
      </c>
      <c r="M11" s="65">
        <f>K11*L11</f>
        <v/>
      </c>
      <c r="N11" s="66">
        <f>B11*2</f>
        <v/>
      </c>
      <c r="O11" s="65">
        <f>M11+N11</f>
        <v/>
      </c>
      <c r="P11" s="62">
        <f>K11*7.12</f>
        <v/>
      </c>
      <c r="Q11" s="63" t="inlineStr">
        <is>
          <t>Turbine Hall</t>
        </is>
      </c>
      <c r="R11" s="59" t="inlineStr">
        <is>
          <t>12-06-2026</t>
        </is>
      </c>
      <c r="S11" s="59" t="inlineStr">
        <is>
          <t>Ron</t>
        </is>
      </c>
      <c r="T11" s="63" t="inlineStr">
        <is>
          <t>N/A</t>
        </is>
      </c>
      <c r="U11" s="63" t="inlineStr">
        <is>
          <t>N/A</t>
        </is>
      </c>
    </row>
    <row r="12">
      <c r="A12" s="42" t="inlineStr">
        <is>
          <t>Lostock Fabric</t>
        </is>
      </c>
      <c r="B12" s="43" t="n">
        <v>2</v>
      </c>
      <c r="C12" s="55" t="n">
        <v>285</v>
      </c>
      <c r="D12" s="45" t="n">
        <v>0.66</v>
      </c>
      <c r="E12" s="45" t="n">
        <v>0.28</v>
      </c>
      <c r="F12" s="56" t="inlineStr">
        <is>
          <t>H</t>
        </is>
      </c>
      <c r="G12" s="56" t="inlineStr">
        <is>
          <t>Turbine Hall</t>
        </is>
      </c>
      <c r="H12" s="56" t="n"/>
      <c r="I12" s="45">
        <f>D12+0.03</f>
        <v/>
      </c>
      <c r="J12" s="45">
        <f>E12+0.03</f>
        <v/>
      </c>
      <c r="K12" s="44">
        <f>B12*I12*J12</f>
        <v/>
      </c>
      <c r="L12" s="43" t="n">
        <v>190</v>
      </c>
      <c r="M12" s="57">
        <f>K12*L12</f>
        <v/>
      </c>
      <c r="N12" s="58">
        <f>B12*2</f>
        <v/>
      </c>
      <c r="O12" s="57">
        <f>M12+N12</f>
        <v/>
      </c>
      <c r="P12" s="45">
        <f>K12*7.12</f>
        <v/>
      </c>
      <c r="Q12" s="56" t="inlineStr">
        <is>
          <t>Turbine Hall</t>
        </is>
      </c>
      <c r="R12" s="42" t="inlineStr">
        <is>
          <t>12-06-2026</t>
        </is>
      </c>
      <c r="S12" s="42" t="inlineStr">
        <is>
          <t>Ron</t>
        </is>
      </c>
      <c r="T12" s="56" t="inlineStr">
        <is>
          <t>N/A</t>
        </is>
      </c>
      <c r="U12" s="56" t="inlineStr">
        <is>
          <t>N/A</t>
        </is>
      </c>
    </row>
    <row r="13">
      <c r="A13" s="59" t="inlineStr">
        <is>
          <t>Lostock Fabric</t>
        </is>
      </c>
      <c r="B13" s="60" t="n">
        <v>1</v>
      </c>
      <c r="C13" s="61" t="n">
        <v>286</v>
      </c>
      <c r="D13" s="62" t="n">
        <v>1.36</v>
      </c>
      <c r="E13" s="62" t="n">
        <v>0.65</v>
      </c>
      <c r="F13" s="63" t="inlineStr">
        <is>
          <t>G</t>
        </is>
      </c>
      <c r="G13" s="63" t="inlineStr">
        <is>
          <t>Turbine Hall</t>
        </is>
      </c>
      <c r="H13" s="63" t="n"/>
      <c r="I13" s="62">
        <f>D13+0.03</f>
        <v/>
      </c>
      <c r="J13" s="62">
        <f>E13+0.03</f>
        <v/>
      </c>
      <c r="K13" s="64">
        <f>B13*I13*J13</f>
        <v/>
      </c>
      <c r="L13" s="60" t="n">
        <v>190</v>
      </c>
      <c r="M13" s="65">
        <f>K13*L13</f>
        <v/>
      </c>
      <c r="N13" s="66">
        <f>B13*2</f>
        <v/>
      </c>
      <c r="O13" s="65">
        <f>M13+N13</f>
        <v/>
      </c>
      <c r="P13" s="62">
        <f>K13*7.12</f>
        <v/>
      </c>
      <c r="Q13" s="63" t="inlineStr">
        <is>
          <t>Turbine Hall</t>
        </is>
      </c>
      <c r="R13" s="59" t="inlineStr">
        <is>
          <t>12-06-2026</t>
        </is>
      </c>
      <c r="S13" s="59" t="inlineStr">
        <is>
          <t>Ron</t>
        </is>
      </c>
      <c r="T13" s="63" t="inlineStr">
        <is>
          <t>N/A</t>
        </is>
      </c>
      <c r="U13" s="63" t="inlineStr">
        <is>
          <t>N/A</t>
        </is>
      </c>
    </row>
    <row r="14">
      <c r="A14" s="42" t="inlineStr">
        <is>
          <t>Lostock Fabric</t>
        </is>
      </c>
      <c r="B14" s="43" t="n">
        <v>1</v>
      </c>
      <c r="C14" s="55" t="n">
        <v>287</v>
      </c>
      <c r="D14" s="45" t="n">
        <v>1.36</v>
      </c>
      <c r="E14" s="45" t="n">
        <v>0.66</v>
      </c>
      <c r="F14" s="56" t="inlineStr">
        <is>
          <t>G</t>
        </is>
      </c>
      <c r="G14" s="56" t="inlineStr">
        <is>
          <t>Turbine Hall</t>
        </is>
      </c>
      <c r="H14" s="56" t="n"/>
      <c r="I14" s="45">
        <f>D14+0.03</f>
        <v/>
      </c>
      <c r="J14" s="45">
        <f>E14+0.03</f>
        <v/>
      </c>
      <c r="K14" s="44">
        <f>B14*I14*J14</f>
        <v/>
      </c>
      <c r="L14" s="43" t="n">
        <v>190</v>
      </c>
      <c r="M14" s="57">
        <f>K14*L14</f>
        <v/>
      </c>
      <c r="N14" s="58">
        <f>B14*2</f>
        <v/>
      </c>
      <c r="O14" s="57">
        <f>M14+N14</f>
        <v/>
      </c>
      <c r="P14" s="45">
        <f>K14*7.12</f>
        <v/>
      </c>
      <c r="Q14" s="56" t="inlineStr">
        <is>
          <t>Turbine Hall</t>
        </is>
      </c>
      <c r="R14" s="42" t="inlineStr">
        <is>
          <t>12-06-2026</t>
        </is>
      </c>
      <c r="S14" s="42" t="inlineStr">
        <is>
          <t>Ron</t>
        </is>
      </c>
      <c r="T14" s="56" t="inlineStr">
        <is>
          <t>N/A</t>
        </is>
      </c>
      <c r="U14" s="56" t="inlineStr">
        <is>
          <t>N/A</t>
        </is>
      </c>
    </row>
    <row r="15">
      <c r="A15" s="59" t="inlineStr">
        <is>
          <t>Lostock Fabric</t>
        </is>
      </c>
      <c r="B15" s="60" t="n">
        <v>1</v>
      </c>
      <c r="C15" s="61" t="n">
        <v>288</v>
      </c>
      <c r="D15" s="62" t="n">
        <v>0.4</v>
      </c>
      <c r="E15" s="62" t="n">
        <v>0.48</v>
      </c>
      <c r="F15" s="63" t="inlineStr">
        <is>
          <t>H</t>
        </is>
      </c>
      <c r="G15" s="63" t="inlineStr">
        <is>
          <t>Turbine Hall</t>
        </is>
      </c>
      <c r="H15" s="63" t="n"/>
      <c r="I15" s="62">
        <f>D15+0.03</f>
        <v/>
      </c>
      <c r="J15" s="62">
        <f>E15+0.03</f>
        <v/>
      </c>
      <c r="K15" s="64">
        <f>B15*I15*J15</f>
        <v/>
      </c>
      <c r="L15" s="60" t="n">
        <v>190</v>
      </c>
      <c r="M15" s="65">
        <f>K15*L15</f>
        <v/>
      </c>
      <c r="N15" s="66">
        <f>B15*2</f>
        <v/>
      </c>
      <c r="O15" s="65">
        <f>M15+N15</f>
        <v/>
      </c>
      <c r="P15" s="62">
        <f>K15*7.12</f>
        <v/>
      </c>
      <c r="Q15" s="63" t="inlineStr">
        <is>
          <t>Turbine Hall</t>
        </is>
      </c>
      <c r="R15" s="59" t="inlineStr">
        <is>
          <t>12-06-2026</t>
        </is>
      </c>
      <c r="S15" s="59" t="inlineStr">
        <is>
          <t>Ron</t>
        </is>
      </c>
      <c r="T15" s="63" t="inlineStr">
        <is>
          <t>N/A</t>
        </is>
      </c>
      <c r="U15" s="63" t="inlineStr">
        <is>
          <t>N/A</t>
        </is>
      </c>
    </row>
    <row r="16">
      <c r="A16" s="42" t="inlineStr">
        <is>
          <t>Lostock Fabric</t>
        </is>
      </c>
      <c r="B16" s="43" t="n">
        <v>2</v>
      </c>
      <c r="C16" s="55" t="n">
        <v>289</v>
      </c>
      <c r="D16" s="45" t="n">
        <v>0.31</v>
      </c>
      <c r="E16" s="45" t="n">
        <v>0.74</v>
      </c>
      <c r="F16" s="56" t="inlineStr">
        <is>
          <t>H</t>
        </is>
      </c>
      <c r="G16" s="56" t="inlineStr">
        <is>
          <t>Turbine Hall</t>
        </is>
      </c>
      <c r="H16" s="56" t="n"/>
      <c r="I16" s="45">
        <f>D16+0.03</f>
        <v/>
      </c>
      <c r="J16" s="45">
        <f>E16+0.03</f>
        <v/>
      </c>
      <c r="K16" s="44">
        <f>B16*I16*J16</f>
        <v/>
      </c>
      <c r="L16" s="43" t="n">
        <v>190</v>
      </c>
      <c r="M16" s="57">
        <f>K16*L16</f>
        <v/>
      </c>
      <c r="N16" s="58">
        <f>B16*2</f>
        <v/>
      </c>
      <c r="O16" s="57">
        <f>M16+N16</f>
        <v/>
      </c>
      <c r="P16" s="45">
        <f>K16*7.12</f>
        <v/>
      </c>
      <c r="Q16" s="56" t="inlineStr">
        <is>
          <t>Turbine Hall</t>
        </is>
      </c>
      <c r="R16" s="42" t="inlineStr">
        <is>
          <t>12-06-2026</t>
        </is>
      </c>
      <c r="S16" s="42" t="inlineStr">
        <is>
          <t>Ron</t>
        </is>
      </c>
      <c r="T16" s="56" t="inlineStr">
        <is>
          <t>N/A</t>
        </is>
      </c>
      <c r="U16" s="56" t="inlineStr">
        <is>
          <t>N/A</t>
        </is>
      </c>
    </row>
    <row r="17">
      <c r="A17" s="59" t="inlineStr">
        <is>
          <t>Lostock Fabric</t>
        </is>
      </c>
      <c r="B17" s="60" t="n">
        <v>1</v>
      </c>
      <c r="C17" s="61" t="n">
        <v>290</v>
      </c>
      <c r="D17" s="62" t="n">
        <v>0.43</v>
      </c>
      <c r="E17" s="62" t="n">
        <v>0.28</v>
      </c>
      <c r="F17" s="63" t="inlineStr">
        <is>
          <t>H</t>
        </is>
      </c>
      <c r="G17" s="63" t="inlineStr">
        <is>
          <t>Turbine Hall</t>
        </is>
      </c>
      <c r="H17" s="63" t="n"/>
      <c r="I17" s="62">
        <f>D17+0.03</f>
        <v/>
      </c>
      <c r="J17" s="62">
        <f>E17+0.03</f>
        <v/>
      </c>
      <c r="K17" s="64">
        <f>B17*I17*J17</f>
        <v/>
      </c>
      <c r="L17" s="60" t="n">
        <v>190</v>
      </c>
      <c r="M17" s="65">
        <f>K17*L17</f>
        <v/>
      </c>
      <c r="N17" s="66">
        <f>B17*2</f>
        <v/>
      </c>
      <c r="O17" s="65">
        <f>M17+N17</f>
        <v/>
      </c>
      <c r="P17" s="62">
        <f>K17*7.12</f>
        <v/>
      </c>
      <c r="Q17" s="63" t="inlineStr">
        <is>
          <t>Turbine Hall</t>
        </is>
      </c>
      <c r="R17" s="59" t="inlineStr">
        <is>
          <t>12-06-2026</t>
        </is>
      </c>
      <c r="S17" s="59" t="inlineStr">
        <is>
          <t>Ron</t>
        </is>
      </c>
      <c r="T17" s="63" t="inlineStr">
        <is>
          <t>N/A</t>
        </is>
      </c>
      <c r="U17" s="63" t="inlineStr">
        <is>
          <t>N/A</t>
        </is>
      </c>
    </row>
    <row r="18">
      <c r="A18" s="42" t="inlineStr">
        <is>
          <t>Lostock Fabric</t>
        </is>
      </c>
      <c r="B18" s="43" t="n">
        <v>1</v>
      </c>
      <c r="C18" s="55" t="n">
        <v>291</v>
      </c>
      <c r="D18" s="45" t="n">
        <v>2.28</v>
      </c>
      <c r="E18" s="45" t="n">
        <v>0.47</v>
      </c>
      <c r="F18" s="56" t="inlineStr">
        <is>
          <t>G/H</t>
        </is>
      </c>
      <c r="G18" s="56" t="inlineStr">
        <is>
          <t>Turbine Hall</t>
        </is>
      </c>
      <c r="H18" s="56" t="n"/>
      <c r="I18" s="45">
        <f>D18+0.03</f>
        <v/>
      </c>
      <c r="J18" s="45">
        <f>E18+0.03</f>
        <v/>
      </c>
      <c r="K18" s="44">
        <f>B18*I18*J18</f>
        <v/>
      </c>
      <c r="L18" s="43" t="n">
        <v>190</v>
      </c>
      <c r="M18" s="57">
        <f>K18*L18</f>
        <v/>
      </c>
      <c r="N18" s="58">
        <f>B18*2</f>
        <v/>
      </c>
      <c r="O18" s="57">
        <f>M18+N18</f>
        <v/>
      </c>
      <c r="P18" s="45">
        <f>K18*7.12</f>
        <v/>
      </c>
      <c r="Q18" s="56" t="inlineStr">
        <is>
          <t>Turbine Hall</t>
        </is>
      </c>
      <c r="R18" s="42" t="inlineStr">
        <is>
          <t>12-06-2026</t>
        </is>
      </c>
      <c r="S18" s="42" t="inlineStr">
        <is>
          <t>Peter</t>
        </is>
      </c>
      <c r="T18" s="56" t="inlineStr">
        <is>
          <t>N/A</t>
        </is>
      </c>
      <c r="U18" s="56" t="inlineStr">
        <is>
          <t>N/A</t>
        </is>
      </c>
    </row>
    <row r="19">
      <c r="A19" s="59" t="inlineStr">
        <is>
          <t>Lostock Fabric</t>
        </is>
      </c>
      <c r="B19" s="60" t="n">
        <v>1</v>
      </c>
      <c r="C19" s="61" t="n">
        <v>291</v>
      </c>
      <c r="D19" s="62" t="n">
        <v>0.73</v>
      </c>
      <c r="E19" s="62" t="n">
        <v>0.73</v>
      </c>
      <c r="F19" s="63" t="inlineStr">
        <is>
          <t>G/H</t>
        </is>
      </c>
      <c r="G19" s="63" t="inlineStr">
        <is>
          <t>Turbine Hall</t>
        </is>
      </c>
      <c r="H19" s="63" t="n"/>
      <c r="I19" s="62">
        <f>D19+0.03</f>
        <v/>
      </c>
      <c r="J19" s="62">
        <f>E19+0.03</f>
        <v/>
      </c>
      <c r="K19" s="64">
        <f>B19*I19*J19</f>
        <v/>
      </c>
      <c r="L19" s="60" t="n">
        <v>190</v>
      </c>
      <c r="M19" s="65">
        <f>K19*L19</f>
        <v/>
      </c>
      <c r="N19" s="66">
        <f>B19*2</f>
        <v/>
      </c>
      <c r="O19" s="65">
        <f>M19+N19</f>
        <v/>
      </c>
      <c r="P19" s="62">
        <f>K19*7.12</f>
        <v/>
      </c>
      <c r="Q19" s="63" t="inlineStr">
        <is>
          <t>Turbine Hall</t>
        </is>
      </c>
      <c r="R19" s="59" t="inlineStr">
        <is>
          <t>12-06-2026</t>
        </is>
      </c>
      <c r="S19" s="59" t="inlineStr">
        <is>
          <t>Peter</t>
        </is>
      </c>
      <c r="T19" s="63" t="inlineStr">
        <is>
          <t>N/A</t>
        </is>
      </c>
      <c r="U19" s="63" t="inlineStr">
        <is>
          <t>N/A</t>
        </is>
      </c>
    </row>
    <row r="20">
      <c r="A20" s="42" t="inlineStr">
        <is>
          <t>Lostock Fabric</t>
        </is>
      </c>
      <c r="B20" s="43" t="n">
        <v>2</v>
      </c>
      <c r="C20" s="55" t="n">
        <v>292</v>
      </c>
      <c r="D20" s="45" t="n">
        <v>0.36</v>
      </c>
      <c r="E20" s="45" t="n">
        <v>0.45</v>
      </c>
      <c r="F20" s="56" t="inlineStr">
        <is>
          <t>H</t>
        </is>
      </c>
      <c r="G20" s="56" t="inlineStr">
        <is>
          <t>Turbine Hall</t>
        </is>
      </c>
      <c r="H20" s="56" t="n"/>
      <c r="I20" s="45">
        <f>D20+0.03</f>
        <v/>
      </c>
      <c r="J20" s="45">
        <f>E20+0.03</f>
        <v/>
      </c>
      <c r="K20" s="44">
        <f>B20*I20*J20</f>
        <v/>
      </c>
      <c r="L20" s="43" t="n">
        <v>190</v>
      </c>
      <c r="M20" s="57">
        <f>K20*L20</f>
        <v/>
      </c>
      <c r="N20" s="58">
        <f>B20*2</f>
        <v/>
      </c>
      <c r="O20" s="57">
        <f>M20+N20</f>
        <v/>
      </c>
      <c r="P20" s="45">
        <f>K20*7.12</f>
        <v/>
      </c>
      <c r="Q20" s="56" t="inlineStr">
        <is>
          <t>Turbine Hall</t>
        </is>
      </c>
      <c r="R20" s="42" t="inlineStr">
        <is>
          <t>12-06-2026</t>
        </is>
      </c>
      <c r="S20" s="42" t="inlineStr">
        <is>
          <t>Ron</t>
        </is>
      </c>
      <c r="T20" s="56" t="inlineStr">
        <is>
          <t>N/A</t>
        </is>
      </c>
      <c r="U20" s="56" t="inlineStr">
        <is>
          <t>N/A</t>
        </is>
      </c>
    </row>
    <row r="21">
      <c r="A21" s="59" t="inlineStr">
        <is>
          <t>Lostock Fabric</t>
        </is>
      </c>
      <c r="B21" s="60" t="n">
        <v>3</v>
      </c>
      <c r="C21" s="61" t="n">
        <v>293</v>
      </c>
      <c r="D21" s="62" t="n">
        <v>0.66</v>
      </c>
      <c r="E21" s="62" t="n">
        <v>0.33</v>
      </c>
      <c r="F21" s="63" t="inlineStr">
        <is>
          <t>H</t>
        </is>
      </c>
      <c r="G21" s="63" t="inlineStr">
        <is>
          <t>Turbine Hall</t>
        </is>
      </c>
      <c r="H21" s="63" t="n"/>
      <c r="I21" s="62">
        <f>D21+0.03</f>
        <v/>
      </c>
      <c r="J21" s="62">
        <f>E21+0.03</f>
        <v/>
      </c>
      <c r="K21" s="64">
        <f>B21*I21*J21</f>
        <v/>
      </c>
      <c r="L21" s="60" t="n">
        <v>190</v>
      </c>
      <c r="M21" s="65">
        <f>K21*L21</f>
        <v/>
      </c>
      <c r="N21" s="66">
        <f>B21*2</f>
        <v/>
      </c>
      <c r="O21" s="65">
        <f>M21+N21</f>
        <v/>
      </c>
      <c r="P21" s="62">
        <f>K21*7.12</f>
        <v/>
      </c>
      <c r="Q21" s="63" t="inlineStr">
        <is>
          <t>Turbine Hall</t>
        </is>
      </c>
      <c r="R21" s="59" t="inlineStr">
        <is>
          <t>12-06-2026</t>
        </is>
      </c>
      <c r="S21" s="59" t="inlineStr">
        <is>
          <t>Ron</t>
        </is>
      </c>
      <c r="T21" s="63" t="inlineStr">
        <is>
          <t>N/A</t>
        </is>
      </c>
      <c r="U21" s="63" t="inlineStr">
        <is>
          <t>N/A</t>
        </is>
      </c>
    </row>
    <row r="22">
      <c r="A22" s="42" t="inlineStr">
        <is>
          <t>Lostock Fabric</t>
        </is>
      </c>
      <c r="B22" s="43" t="n">
        <v>1</v>
      </c>
      <c r="C22" s="55" t="n">
        <v>294</v>
      </c>
      <c r="D22" s="45" t="n">
        <v>1.5</v>
      </c>
      <c r="E22" s="45" t="n">
        <v>0.3</v>
      </c>
      <c r="F22" s="56" t="inlineStr">
        <is>
          <t>G</t>
        </is>
      </c>
      <c r="G22" s="56" t="inlineStr">
        <is>
          <t>Turbine Hall</t>
        </is>
      </c>
      <c r="H22" s="56" t="n"/>
      <c r="I22" s="45">
        <f>D22+0.03</f>
        <v/>
      </c>
      <c r="J22" s="45">
        <f>E22+0.03</f>
        <v/>
      </c>
      <c r="K22" s="44">
        <f>B22*I22*J22</f>
        <v/>
      </c>
      <c r="L22" s="43" t="n">
        <v>190</v>
      </c>
      <c r="M22" s="57">
        <f>K22*L22</f>
        <v/>
      </c>
      <c r="N22" s="58">
        <f>B22*2</f>
        <v/>
      </c>
      <c r="O22" s="57">
        <f>M22+N22</f>
        <v/>
      </c>
      <c r="P22" s="45">
        <f>K22*7.12</f>
        <v/>
      </c>
      <c r="Q22" s="56" t="inlineStr">
        <is>
          <t>Turbine Hall</t>
        </is>
      </c>
      <c r="R22" s="42" t="inlineStr">
        <is>
          <t>12-06-2026</t>
        </is>
      </c>
      <c r="S22" s="42" t="inlineStr">
        <is>
          <t>Peter</t>
        </is>
      </c>
      <c r="T22" s="56" t="inlineStr">
        <is>
          <t>N/A</t>
        </is>
      </c>
      <c r="U22" s="56" t="inlineStr">
        <is>
          <t>N/A</t>
        </is>
      </c>
    </row>
    <row r="23">
      <c r="A23" s="59" t="inlineStr">
        <is>
          <t>Lostock Fabric</t>
        </is>
      </c>
      <c r="B23" s="60" t="n">
        <v>1</v>
      </c>
      <c r="C23" s="61" t="n">
        <v>294</v>
      </c>
      <c r="D23" s="62" t="n">
        <v>0.48</v>
      </c>
      <c r="E23" s="62" t="n">
        <v>0.48</v>
      </c>
      <c r="F23" s="63" t="inlineStr">
        <is>
          <t>G/H</t>
        </is>
      </c>
      <c r="G23" s="63" t="inlineStr">
        <is>
          <t>Turbine Hall</t>
        </is>
      </c>
      <c r="H23" s="63" t="n"/>
      <c r="I23" s="62">
        <f>D23+0.03</f>
        <v/>
      </c>
      <c r="J23" s="62">
        <f>E23+0.03</f>
        <v/>
      </c>
      <c r="K23" s="64">
        <f>B23*I23*J23</f>
        <v/>
      </c>
      <c r="L23" s="60" t="n">
        <v>190</v>
      </c>
      <c r="M23" s="65">
        <f>K23*L23</f>
        <v/>
      </c>
      <c r="N23" s="66">
        <f>B23*2</f>
        <v/>
      </c>
      <c r="O23" s="65">
        <f>M23+N23</f>
        <v/>
      </c>
      <c r="P23" s="62">
        <f>K23*7.12</f>
        <v/>
      </c>
      <c r="Q23" s="63" t="inlineStr">
        <is>
          <t>Turbine Hall</t>
        </is>
      </c>
      <c r="R23" s="59" t="inlineStr">
        <is>
          <t>12-06-2026</t>
        </is>
      </c>
      <c r="S23" s="59" t="inlineStr">
        <is>
          <t>Peter</t>
        </is>
      </c>
      <c r="T23" s="63" t="inlineStr">
        <is>
          <t>N/A</t>
        </is>
      </c>
      <c r="U23" s="63" t="inlineStr">
        <is>
          <t>N/A</t>
        </is>
      </c>
    </row>
    <row r="24">
      <c r="A24" s="42" t="inlineStr">
        <is>
          <t>Lostock Fabric</t>
        </is>
      </c>
      <c r="B24" s="43" t="n">
        <v>2</v>
      </c>
      <c r="C24" s="55" t="n">
        <v>295</v>
      </c>
      <c r="D24" s="45" t="n">
        <v>0.36</v>
      </c>
      <c r="E24" s="45" t="n">
        <v>0.37</v>
      </c>
      <c r="F24" s="56" t="inlineStr">
        <is>
          <t>H</t>
        </is>
      </c>
      <c r="G24" s="56" t="inlineStr">
        <is>
          <t>Turbine Hall</t>
        </is>
      </c>
      <c r="H24" s="56" t="n"/>
      <c r="I24" s="45">
        <f>D24+0.03</f>
        <v/>
      </c>
      <c r="J24" s="45">
        <f>E24+0.03</f>
        <v/>
      </c>
      <c r="K24" s="44">
        <f>B24*I24*J24</f>
        <v/>
      </c>
      <c r="L24" s="43" t="n">
        <v>190</v>
      </c>
      <c r="M24" s="57">
        <f>K24*L24</f>
        <v/>
      </c>
      <c r="N24" s="58">
        <f>B24*2</f>
        <v/>
      </c>
      <c r="O24" s="57">
        <f>M24+N24</f>
        <v/>
      </c>
      <c r="P24" s="45">
        <f>K24*7.12</f>
        <v/>
      </c>
      <c r="Q24" s="56" t="inlineStr">
        <is>
          <t>Turbine Hall</t>
        </is>
      </c>
      <c r="R24" s="42" t="inlineStr">
        <is>
          <t>12-06-2026</t>
        </is>
      </c>
      <c r="S24" s="42" t="inlineStr">
        <is>
          <t>Ron</t>
        </is>
      </c>
      <c r="T24" s="56" t="inlineStr">
        <is>
          <t>N/A</t>
        </is>
      </c>
      <c r="U24" s="56" t="inlineStr">
        <is>
          <t>N/A</t>
        </is>
      </c>
    </row>
    <row r="25">
      <c r="A25" s="59" t="inlineStr">
        <is>
          <t>Lostock Fabric</t>
        </is>
      </c>
      <c r="B25" s="60" t="n">
        <v>1</v>
      </c>
      <c r="C25" s="61" t="n">
        <v>296</v>
      </c>
      <c r="D25" s="62" t="n">
        <v>1.5</v>
      </c>
      <c r="E25" s="62" t="n">
        <v>0.9</v>
      </c>
      <c r="F25" s="63" t="inlineStr">
        <is>
          <t>G</t>
        </is>
      </c>
      <c r="G25" s="63" t="inlineStr">
        <is>
          <t>Turbine Hall</t>
        </is>
      </c>
      <c r="H25" s="63" t="n"/>
      <c r="I25" s="62">
        <f>D25+0.03</f>
        <v/>
      </c>
      <c r="J25" s="62">
        <f>E25+0.03</f>
        <v/>
      </c>
      <c r="K25" s="64">
        <f>B25*I25*J25</f>
        <v/>
      </c>
      <c r="L25" s="60" t="n">
        <v>190</v>
      </c>
      <c r="M25" s="65">
        <f>K25*L25</f>
        <v/>
      </c>
      <c r="N25" s="66">
        <f>B25*2</f>
        <v/>
      </c>
      <c r="O25" s="65">
        <f>M25+N25</f>
        <v/>
      </c>
      <c r="P25" s="62">
        <f>K25*7.12</f>
        <v/>
      </c>
      <c r="Q25" s="63" t="inlineStr">
        <is>
          <t>Turbine Hall</t>
        </is>
      </c>
      <c r="R25" s="59" t="inlineStr">
        <is>
          <t>12-06-2026</t>
        </is>
      </c>
      <c r="S25" s="59" t="inlineStr">
        <is>
          <t>Ron</t>
        </is>
      </c>
      <c r="T25" s="63" t="inlineStr">
        <is>
          <t>N/A</t>
        </is>
      </c>
      <c r="U25" s="63" t="inlineStr">
        <is>
          <t>N/A</t>
        </is>
      </c>
    </row>
    <row r="26">
      <c r="A26" s="42" t="inlineStr">
        <is>
          <t>Lostock Fabric</t>
        </is>
      </c>
      <c r="B26" s="43" t="n">
        <v>1</v>
      </c>
      <c r="C26" s="55" t="n">
        <v>297</v>
      </c>
      <c r="D26" s="45" t="n">
        <v>1.58</v>
      </c>
      <c r="E26" s="45" t="n">
        <v>0.38</v>
      </c>
      <c r="F26" s="56" t="inlineStr">
        <is>
          <t>G</t>
        </is>
      </c>
      <c r="G26" s="56" t="inlineStr">
        <is>
          <t>Turbine Hall</t>
        </is>
      </c>
      <c r="H26" s="56" t="n"/>
      <c r="I26" s="45">
        <f>D26+0.03</f>
        <v/>
      </c>
      <c r="J26" s="45">
        <f>E26+0.03</f>
        <v/>
      </c>
      <c r="K26" s="44">
        <f>B26*I26*J26</f>
        <v/>
      </c>
      <c r="L26" s="43" t="n">
        <v>190</v>
      </c>
      <c r="M26" s="57">
        <f>K26*L26</f>
        <v/>
      </c>
      <c r="N26" s="58">
        <f>B26*2</f>
        <v/>
      </c>
      <c r="O26" s="57">
        <f>M26+N26</f>
        <v/>
      </c>
      <c r="P26" s="45">
        <f>K26*7.12</f>
        <v/>
      </c>
      <c r="Q26" s="56" t="inlineStr">
        <is>
          <t>Turbine Hall</t>
        </is>
      </c>
      <c r="R26" s="42" t="inlineStr">
        <is>
          <t>12-06-2026</t>
        </is>
      </c>
      <c r="S26" s="42" t="inlineStr">
        <is>
          <t>Ron</t>
        </is>
      </c>
      <c r="T26" s="56" t="inlineStr">
        <is>
          <t>N/A</t>
        </is>
      </c>
      <c r="U26" s="56" t="inlineStr">
        <is>
          <t>N/A</t>
        </is>
      </c>
    </row>
    <row r="27">
      <c r="A27" s="59" t="inlineStr">
        <is>
          <t>Lostock Fabric</t>
        </is>
      </c>
      <c r="B27" s="60" t="n">
        <v>1</v>
      </c>
      <c r="C27" s="61" t="n">
        <v>298</v>
      </c>
      <c r="D27" s="62" t="n">
        <v>2.28</v>
      </c>
      <c r="E27" s="62" t="n">
        <v>0.46</v>
      </c>
      <c r="F27" s="63" t="inlineStr">
        <is>
          <t>G</t>
        </is>
      </c>
      <c r="G27" s="63" t="inlineStr">
        <is>
          <t>Turbine Hall</t>
        </is>
      </c>
      <c r="H27" s="63" t="n"/>
      <c r="I27" s="62">
        <f>D27+0.03</f>
        <v/>
      </c>
      <c r="J27" s="62">
        <f>E27+0.03</f>
        <v/>
      </c>
      <c r="K27" s="64">
        <f>B27*I27*J27</f>
        <v/>
      </c>
      <c r="L27" s="60" t="n">
        <v>190</v>
      </c>
      <c r="M27" s="65">
        <f>K27*L27</f>
        <v/>
      </c>
      <c r="N27" s="66">
        <f>B27*2</f>
        <v/>
      </c>
      <c r="O27" s="65">
        <f>M27+N27</f>
        <v/>
      </c>
      <c r="P27" s="62">
        <f>K27*7.12</f>
        <v/>
      </c>
      <c r="Q27" s="63" t="inlineStr">
        <is>
          <t>Turbine Hall</t>
        </is>
      </c>
      <c r="R27" s="59" t="inlineStr">
        <is>
          <t>12-06-2026</t>
        </is>
      </c>
      <c r="S27" s="59" t="inlineStr">
        <is>
          <t>Peter</t>
        </is>
      </c>
      <c r="T27" s="63" t="inlineStr">
        <is>
          <t>N/A</t>
        </is>
      </c>
      <c r="U27" s="63" t="inlineStr">
        <is>
          <t>N/A</t>
        </is>
      </c>
    </row>
    <row r="28">
      <c r="A28" s="42" t="inlineStr">
        <is>
          <t>Lostock Fabric</t>
        </is>
      </c>
      <c r="B28" s="43" t="n">
        <v>1</v>
      </c>
      <c r="C28" s="55" t="n">
        <v>298</v>
      </c>
      <c r="D28" s="45" t="n">
        <v>0.73</v>
      </c>
      <c r="E28" s="45" t="n">
        <v>0.73</v>
      </c>
      <c r="F28" s="56" t="inlineStr">
        <is>
          <t>G</t>
        </is>
      </c>
      <c r="G28" s="56" t="inlineStr">
        <is>
          <t>Turbine Hall</t>
        </is>
      </c>
      <c r="H28" s="56" t="n"/>
      <c r="I28" s="45">
        <f>D28+0.03</f>
        <v/>
      </c>
      <c r="J28" s="45">
        <f>E28+0.03</f>
        <v/>
      </c>
      <c r="K28" s="44">
        <f>B28*I28*J28</f>
        <v/>
      </c>
      <c r="L28" s="43" t="n">
        <v>190</v>
      </c>
      <c r="M28" s="57">
        <f>K28*L28</f>
        <v/>
      </c>
      <c r="N28" s="58">
        <f>B28*2</f>
        <v/>
      </c>
      <c r="O28" s="57">
        <f>M28+N28</f>
        <v/>
      </c>
      <c r="P28" s="45">
        <f>K28*7.12</f>
        <v/>
      </c>
      <c r="Q28" s="56" t="inlineStr">
        <is>
          <t>Turbine Hall</t>
        </is>
      </c>
      <c r="R28" s="42" t="inlineStr">
        <is>
          <t>12-06-2026</t>
        </is>
      </c>
      <c r="S28" s="42" t="inlineStr">
        <is>
          <t>Peter</t>
        </is>
      </c>
      <c r="T28" s="56" t="inlineStr">
        <is>
          <t>N/A</t>
        </is>
      </c>
      <c r="U28" s="56" t="inlineStr">
        <is>
          <t>N/A</t>
        </is>
      </c>
    </row>
    <row r="29">
      <c r="A29" s="59" t="inlineStr">
        <is>
          <t>Lostock Fabric</t>
        </is>
      </c>
      <c r="B29" s="60" t="n">
        <v>2</v>
      </c>
      <c r="C29" s="61" t="n">
        <v>299</v>
      </c>
      <c r="D29" s="62" t="n">
        <v>1.25</v>
      </c>
      <c r="E29" s="62" t="n">
        <v>0.28</v>
      </c>
      <c r="F29" s="63" t="inlineStr">
        <is>
          <t>H</t>
        </is>
      </c>
      <c r="G29" s="63" t="inlineStr">
        <is>
          <t>Turbine Hall</t>
        </is>
      </c>
      <c r="H29" s="63" t="n"/>
      <c r="I29" s="62">
        <f>D29+0.03</f>
        <v/>
      </c>
      <c r="J29" s="62">
        <f>E29+0.03</f>
        <v/>
      </c>
      <c r="K29" s="64">
        <f>B29*I29*J29</f>
        <v/>
      </c>
      <c r="L29" s="60" t="n">
        <v>190</v>
      </c>
      <c r="M29" s="65">
        <f>K29*L29</f>
        <v/>
      </c>
      <c r="N29" s="66">
        <f>B29*2</f>
        <v/>
      </c>
      <c r="O29" s="65">
        <f>M29+N29</f>
        <v/>
      </c>
      <c r="P29" s="62">
        <f>K29*7.12</f>
        <v/>
      </c>
      <c r="Q29" s="63" t="inlineStr">
        <is>
          <t>Turbine Hall</t>
        </is>
      </c>
      <c r="R29" s="59" t="inlineStr">
        <is>
          <t>12-06-2026</t>
        </is>
      </c>
      <c r="S29" s="59" t="inlineStr">
        <is>
          <t>Peter</t>
        </is>
      </c>
      <c r="T29" s="63" t="inlineStr">
        <is>
          <t>/56</t>
        </is>
      </c>
      <c r="U29" s="63" t="inlineStr">
        <is>
          <t>/56</t>
        </is>
      </c>
    </row>
    <row r="30">
      <c r="A30" s="42" t="inlineStr">
        <is>
          <t>Lostock Fabric</t>
        </is>
      </c>
      <c r="B30" s="43" t="n">
        <v>2</v>
      </c>
      <c r="C30" s="55" t="n">
        <v>300</v>
      </c>
      <c r="D30" s="45" t="n">
        <v>0.36</v>
      </c>
      <c r="E30" s="45" t="n">
        <v>0.32</v>
      </c>
      <c r="F30" s="56" t="inlineStr">
        <is>
          <t>H</t>
        </is>
      </c>
      <c r="G30" s="56" t="inlineStr">
        <is>
          <t>Turbine Hall</t>
        </is>
      </c>
      <c r="H30" s="56" t="n"/>
      <c r="I30" s="45">
        <f>D30+0.03</f>
        <v/>
      </c>
      <c r="J30" s="45">
        <f>E30+0.03</f>
        <v/>
      </c>
      <c r="K30" s="44">
        <f>B30*I30*J30</f>
        <v/>
      </c>
      <c r="L30" s="43" t="n">
        <v>190</v>
      </c>
      <c r="M30" s="57">
        <f>K30*L30</f>
        <v/>
      </c>
      <c r="N30" s="58">
        <f>B30*2</f>
        <v/>
      </c>
      <c r="O30" s="57">
        <f>M30+N30</f>
        <v/>
      </c>
      <c r="P30" s="45">
        <f>K30*7.12</f>
        <v/>
      </c>
      <c r="Q30" s="56" t="inlineStr">
        <is>
          <t>Turbine Hall</t>
        </is>
      </c>
      <c r="R30" s="42" t="inlineStr">
        <is>
          <t>12-06-2026</t>
        </is>
      </c>
      <c r="S30" s="42" t="inlineStr">
        <is>
          <t>Peter</t>
        </is>
      </c>
      <c r="T30" s="56" t="inlineStr">
        <is>
          <t>N/A</t>
        </is>
      </c>
      <c r="U30" s="56" t="inlineStr">
        <is>
          <t>N/A</t>
        </is>
      </c>
    </row>
    <row r="31">
      <c r="A31" s="59" t="inlineStr">
        <is>
          <t>Lostock Fabric</t>
        </is>
      </c>
      <c r="B31" s="60" t="n">
        <v>1</v>
      </c>
      <c r="C31" s="61" t="n">
        <v>301</v>
      </c>
      <c r="D31" s="62" t="n">
        <v>2.21</v>
      </c>
      <c r="E31" s="62" t="n">
        <v>0.43</v>
      </c>
      <c r="F31" s="63" t="inlineStr">
        <is>
          <t>G/H</t>
        </is>
      </c>
      <c r="G31" s="63" t="inlineStr">
        <is>
          <t>Turbine Hall</t>
        </is>
      </c>
      <c r="H31" s="63" t="n"/>
      <c r="I31" s="62">
        <f>D31+0.03</f>
        <v/>
      </c>
      <c r="J31" s="62">
        <f>E31+0.03</f>
        <v/>
      </c>
      <c r="K31" s="64">
        <f>B31*I31*J31</f>
        <v/>
      </c>
      <c r="L31" s="60" t="n">
        <v>190</v>
      </c>
      <c r="M31" s="65">
        <f>K31*L31</f>
        <v/>
      </c>
      <c r="N31" s="66">
        <f>B31*2</f>
        <v/>
      </c>
      <c r="O31" s="65">
        <f>M31+N31</f>
        <v/>
      </c>
      <c r="P31" s="62">
        <f>K31*7.12</f>
        <v/>
      </c>
      <c r="Q31" s="63" t="inlineStr">
        <is>
          <t>Turbine Hall</t>
        </is>
      </c>
      <c r="R31" s="59" t="inlineStr">
        <is>
          <t>12-06-2026</t>
        </is>
      </c>
      <c r="S31" s="59" t="inlineStr">
        <is>
          <t>Peter</t>
        </is>
      </c>
      <c r="T31" s="63" t="inlineStr">
        <is>
          <t>N/A</t>
        </is>
      </c>
      <c r="U31" s="63" t="inlineStr">
        <is>
          <t>N/A</t>
        </is>
      </c>
    </row>
    <row r="32">
      <c r="A32" s="42" t="inlineStr">
        <is>
          <t>Lostock Fabric</t>
        </is>
      </c>
      <c r="B32" s="43" t="n">
        <v>1</v>
      </c>
      <c r="C32" s="55" t="n">
        <v>301</v>
      </c>
      <c r="D32" s="45" t="n">
        <v>0.7</v>
      </c>
      <c r="E32" s="45" t="n">
        <v>0.7</v>
      </c>
      <c r="F32" s="56" t="inlineStr">
        <is>
          <t>G</t>
        </is>
      </c>
      <c r="G32" s="56" t="inlineStr">
        <is>
          <t>Turbine Hall</t>
        </is>
      </c>
      <c r="H32" s="56" t="n"/>
      <c r="I32" s="45">
        <f>D32+0.03</f>
        <v/>
      </c>
      <c r="J32" s="45">
        <f>E32+0.03</f>
        <v/>
      </c>
      <c r="K32" s="44">
        <f>B32*I32*J32</f>
        <v/>
      </c>
      <c r="L32" s="43" t="n">
        <v>190</v>
      </c>
      <c r="M32" s="57">
        <f>K32*L32</f>
        <v/>
      </c>
      <c r="N32" s="58">
        <f>B32*2</f>
        <v/>
      </c>
      <c r="O32" s="57">
        <f>M32+N32</f>
        <v/>
      </c>
      <c r="P32" s="45">
        <f>K32*7.12</f>
        <v/>
      </c>
      <c r="Q32" s="56" t="inlineStr">
        <is>
          <t>Turbine Hall</t>
        </is>
      </c>
      <c r="R32" s="42" t="inlineStr">
        <is>
          <t>12-06-2026</t>
        </is>
      </c>
      <c r="S32" s="42" t="inlineStr">
        <is>
          <t>Peter</t>
        </is>
      </c>
      <c r="T32" s="56" t="inlineStr">
        <is>
          <t>N/A</t>
        </is>
      </c>
      <c r="U32" s="56" t="inlineStr">
        <is>
          <t>N/A</t>
        </is>
      </c>
    </row>
    <row r="33">
      <c r="A33" s="59" t="inlineStr">
        <is>
          <t>Lostock Fabric</t>
        </is>
      </c>
      <c r="B33" s="60" t="n">
        <v>2</v>
      </c>
      <c r="C33" s="61" t="n">
        <v>302</v>
      </c>
      <c r="D33" s="62" t="n">
        <v>1.07</v>
      </c>
      <c r="E33" s="62" t="n">
        <v>0.26</v>
      </c>
      <c r="F33" s="63" t="inlineStr">
        <is>
          <t>G/H</t>
        </is>
      </c>
      <c r="G33" s="63" t="inlineStr">
        <is>
          <t>Turbine Hall</t>
        </is>
      </c>
      <c r="H33" s="63" t="n"/>
      <c r="I33" s="62">
        <f>D33+0.03</f>
        <v/>
      </c>
      <c r="J33" s="62">
        <f>E33+0.03</f>
        <v/>
      </c>
      <c r="K33" s="64">
        <f>B33*I33*J33</f>
        <v/>
      </c>
      <c r="L33" s="60" t="n">
        <v>190</v>
      </c>
      <c r="M33" s="65">
        <f>K33*L33</f>
        <v/>
      </c>
      <c r="N33" s="66">
        <f>B33*2</f>
        <v/>
      </c>
      <c r="O33" s="65">
        <f>M33+N33</f>
        <v/>
      </c>
      <c r="P33" s="62">
        <f>K33*7.12</f>
        <v/>
      </c>
      <c r="Q33" s="63" t="inlineStr">
        <is>
          <t>Turbine Hall</t>
        </is>
      </c>
      <c r="R33" s="59" t="inlineStr">
        <is>
          <t>12-06-2026</t>
        </is>
      </c>
      <c r="S33" s="59" t="inlineStr">
        <is>
          <t>Peter</t>
        </is>
      </c>
      <c r="T33" s="63" t="inlineStr">
        <is>
          <t>N/A</t>
        </is>
      </c>
      <c r="U33" s="63" t="inlineStr">
        <is>
          <t>N/A</t>
        </is>
      </c>
    </row>
    <row r="34">
      <c r="A34" s="42" t="inlineStr">
        <is>
          <t>Lostock Fabric</t>
        </is>
      </c>
      <c r="B34" s="43" t="n">
        <v>2</v>
      </c>
      <c r="C34" s="55" t="n">
        <v>302</v>
      </c>
      <c r="D34" s="45" t="n">
        <v>0.34</v>
      </c>
      <c r="E34" s="45" t="n">
        <v>0.34</v>
      </c>
      <c r="F34" s="56" t="inlineStr">
        <is>
          <t>G/H</t>
        </is>
      </c>
      <c r="G34" s="56" t="inlineStr">
        <is>
          <t>Turbine Hall</t>
        </is>
      </c>
      <c r="H34" s="56" t="n"/>
      <c r="I34" s="45">
        <f>D34+0.03</f>
        <v/>
      </c>
      <c r="J34" s="45">
        <f>E34+0.03</f>
        <v/>
      </c>
      <c r="K34" s="44">
        <f>B34*I34*J34</f>
        <v/>
      </c>
      <c r="L34" s="43" t="n">
        <v>190</v>
      </c>
      <c r="M34" s="57">
        <f>K34*L34</f>
        <v/>
      </c>
      <c r="N34" s="58">
        <f>B34*2</f>
        <v/>
      </c>
      <c r="O34" s="57">
        <f>M34+N34</f>
        <v/>
      </c>
      <c r="P34" s="45">
        <f>K34*7.12</f>
        <v/>
      </c>
      <c r="Q34" s="56" t="inlineStr">
        <is>
          <t>Turbine Hall</t>
        </is>
      </c>
      <c r="R34" s="42" t="inlineStr">
        <is>
          <t>12-06-2026</t>
        </is>
      </c>
      <c r="S34" s="42" t="inlineStr">
        <is>
          <t>Peter</t>
        </is>
      </c>
      <c r="T34" s="56" t="inlineStr">
        <is>
          <t>N/A</t>
        </is>
      </c>
      <c r="U34" s="56" t="inlineStr">
        <is>
          <t>N/A</t>
        </is>
      </c>
    </row>
    <row r="35">
      <c r="A35" s="59" t="inlineStr">
        <is>
          <t>Lostock Fabric</t>
        </is>
      </c>
      <c r="B35" s="60" t="n">
        <v>1</v>
      </c>
      <c r="C35" s="61" t="n">
        <v>303</v>
      </c>
      <c r="D35" s="62" t="n">
        <v>2.22</v>
      </c>
      <c r="E35" s="62" t="n">
        <v>0.88</v>
      </c>
      <c r="F35" s="63" t="inlineStr">
        <is>
          <t>G/H</t>
        </is>
      </c>
      <c r="G35" s="63" t="inlineStr">
        <is>
          <t>Turbine Hall</t>
        </is>
      </c>
      <c r="H35" s="63" t="n"/>
      <c r="I35" s="62">
        <f>D35+0.03</f>
        <v/>
      </c>
      <c r="J35" s="62">
        <f>E35+0.03</f>
        <v/>
      </c>
      <c r="K35" s="64">
        <f>B35*I35*J35</f>
        <v/>
      </c>
      <c r="L35" s="60" t="n">
        <v>190</v>
      </c>
      <c r="M35" s="65">
        <f>K35*L35</f>
        <v/>
      </c>
      <c r="N35" s="66">
        <f>B35*2</f>
        <v/>
      </c>
      <c r="O35" s="65">
        <f>M35+N35</f>
        <v/>
      </c>
      <c r="P35" s="62">
        <f>K35*7.12</f>
        <v/>
      </c>
      <c r="Q35" s="63" t="inlineStr">
        <is>
          <t>Turbine Hall</t>
        </is>
      </c>
      <c r="R35" s="59" t="inlineStr">
        <is>
          <t>12-06-2026</t>
        </is>
      </c>
      <c r="S35" s="59" t="inlineStr">
        <is>
          <t>Peter</t>
        </is>
      </c>
      <c r="T35" s="63" t="inlineStr">
        <is>
          <t>/0</t>
        </is>
      </c>
      <c r="U35" s="63" t="inlineStr">
        <is>
          <t>N/A</t>
        </is>
      </c>
    </row>
    <row r="36">
      <c r="A36" s="42" t="inlineStr">
        <is>
          <t>Lostock Fabric</t>
        </is>
      </c>
      <c r="B36" s="43" t="n">
        <v>2</v>
      </c>
      <c r="C36" s="55" t="n">
        <v>303</v>
      </c>
      <c r="D36" s="45" t="n">
        <v>0.71</v>
      </c>
      <c r="E36" s="45" t="n">
        <v>0.71</v>
      </c>
      <c r="F36" s="56" t="inlineStr">
        <is>
          <t>G/H</t>
        </is>
      </c>
      <c r="G36" s="56" t="inlineStr">
        <is>
          <t>Turbine Hall</t>
        </is>
      </c>
      <c r="H36" s="56" t="n"/>
      <c r="I36" s="45">
        <f>D36+0.03</f>
        <v/>
      </c>
      <c r="J36" s="45">
        <f>E36+0.03</f>
        <v/>
      </c>
      <c r="K36" s="44">
        <f>B36*I36*J36</f>
        <v/>
      </c>
      <c r="L36" s="43" t="n">
        <v>190</v>
      </c>
      <c r="M36" s="57">
        <f>K36*L36</f>
        <v/>
      </c>
      <c r="N36" s="58">
        <f>B36*2</f>
        <v/>
      </c>
      <c r="O36" s="57">
        <f>M36+N36</f>
        <v/>
      </c>
      <c r="P36" s="45">
        <f>K36*7.12</f>
        <v/>
      </c>
      <c r="Q36" s="56" t="inlineStr">
        <is>
          <t>Turbine Hall</t>
        </is>
      </c>
      <c r="R36" s="42" t="inlineStr">
        <is>
          <t>12-06-2026</t>
        </is>
      </c>
      <c r="S36" s="42" t="inlineStr">
        <is>
          <t>Peter</t>
        </is>
      </c>
      <c r="T36" s="56" t="inlineStr">
        <is>
          <t>/0</t>
        </is>
      </c>
      <c r="U36" s="56" t="inlineStr">
        <is>
          <t>N/A</t>
        </is>
      </c>
    </row>
    <row r="37">
      <c r="A37" s="59" t="inlineStr">
        <is>
          <t>Lostock Fabric</t>
        </is>
      </c>
      <c r="B37" s="60" t="n">
        <v>2</v>
      </c>
      <c r="C37" s="61" t="n">
        <v>304</v>
      </c>
      <c r="D37" s="62" t="n">
        <v>2.22</v>
      </c>
      <c r="E37" s="62" t="n">
        <v>0.38</v>
      </c>
      <c r="F37" s="63" t="inlineStr">
        <is>
          <t>G</t>
        </is>
      </c>
      <c r="G37" s="63" t="inlineStr">
        <is>
          <t>Turbine Hall</t>
        </is>
      </c>
      <c r="H37" s="63" t="n"/>
      <c r="I37" s="62">
        <f>D37+0.03</f>
        <v/>
      </c>
      <c r="J37" s="62">
        <f>E37+0.03</f>
        <v/>
      </c>
      <c r="K37" s="64">
        <f>B37*I37*J37</f>
        <v/>
      </c>
      <c r="L37" s="60" t="n">
        <v>190</v>
      </c>
      <c r="M37" s="65">
        <f>K37*L37</f>
        <v/>
      </c>
      <c r="N37" s="66">
        <f>B37*2</f>
        <v/>
      </c>
      <c r="O37" s="65">
        <f>M37+N37</f>
        <v/>
      </c>
      <c r="P37" s="62">
        <f>K37*7.12</f>
        <v/>
      </c>
      <c r="Q37" s="63" t="inlineStr">
        <is>
          <t>Turbine Hall</t>
        </is>
      </c>
      <c r="R37" s="59" t="inlineStr">
        <is>
          <t>12-06-2026</t>
        </is>
      </c>
      <c r="S37" s="59" t="inlineStr">
        <is>
          <t>Peter</t>
        </is>
      </c>
      <c r="T37" s="63" t="inlineStr">
        <is>
          <t>4g</t>
        </is>
      </c>
      <c r="U37" s="63" t="inlineStr">
        <is>
          <t>N/A</t>
        </is>
      </c>
    </row>
    <row r="38">
      <c r="A38" s="42" t="inlineStr">
        <is>
          <t>Lostock Fabric</t>
        </is>
      </c>
      <c r="B38" s="43" t="n">
        <v>1</v>
      </c>
      <c r="C38" s="55" t="n">
        <v>305</v>
      </c>
      <c r="D38" s="45" t="n">
        <v>1.06</v>
      </c>
      <c r="E38" s="45" t="n">
        <v>0.5</v>
      </c>
      <c r="F38" s="56" t="inlineStr">
        <is>
          <t>G</t>
        </is>
      </c>
      <c r="G38" s="56" t="inlineStr">
        <is>
          <t>Turbine Hall</t>
        </is>
      </c>
      <c r="H38" s="56" t="n"/>
      <c r="I38" s="45">
        <f>D38+0.03</f>
        <v/>
      </c>
      <c r="J38" s="45">
        <f>E38+0.03</f>
        <v/>
      </c>
      <c r="K38" s="44">
        <f>B38*I38*J38</f>
        <v/>
      </c>
      <c r="L38" s="43" t="n">
        <v>190</v>
      </c>
      <c r="M38" s="57">
        <f>K38*L38</f>
        <v/>
      </c>
      <c r="N38" s="58">
        <f>B38*2</f>
        <v/>
      </c>
      <c r="O38" s="57">
        <f>M38+N38</f>
        <v/>
      </c>
      <c r="P38" s="45">
        <f>K38*7.12</f>
        <v/>
      </c>
      <c r="Q38" s="56" t="inlineStr">
        <is>
          <t>Turbine Hall</t>
        </is>
      </c>
      <c r="R38" s="42" t="inlineStr">
        <is>
          <t>12-06-2026</t>
        </is>
      </c>
      <c r="S38" s="42" t="inlineStr">
        <is>
          <t>Ron</t>
        </is>
      </c>
      <c r="T38" s="56" t="inlineStr">
        <is>
          <t>N/A</t>
        </is>
      </c>
      <c r="U38" s="56" t="inlineStr">
        <is>
          <t>N/A</t>
        </is>
      </c>
    </row>
    <row r="39">
      <c r="A39" s="59" t="inlineStr">
        <is>
          <t>Lostock Fabric</t>
        </is>
      </c>
      <c r="B39" s="60" t="n">
        <v>1</v>
      </c>
      <c r="C39" s="61" t="n">
        <v>306</v>
      </c>
      <c r="D39" s="62" t="n">
        <v>1.07</v>
      </c>
      <c r="E39" s="62" t="n">
        <v>0.28</v>
      </c>
      <c r="F39" s="63" t="inlineStr">
        <is>
          <t>G</t>
        </is>
      </c>
      <c r="G39" s="63" t="inlineStr">
        <is>
          <t>Turbine Hall</t>
        </is>
      </c>
      <c r="H39" s="63" t="n"/>
      <c r="I39" s="62">
        <f>D39+0.03</f>
        <v/>
      </c>
      <c r="J39" s="62">
        <f>E39+0.03</f>
        <v/>
      </c>
      <c r="K39" s="64">
        <f>B39*I39*J39</f>
        <v/>
      </c>
      <c r="L39" s="60" t="n">
        <v>190</v>
      </c>
      <c r="M39" s="65">
        <f>K39*L39</f>
        <v/>
      </c>
      <c r="N39" s="66">
        <f>B39*2</f>
        <v/>
      </c>
      <c r="O39" s="65">
        <f>M39+N39</f>
        <v/>
      </c>
      <c r="P39" s="62">
        <f>K39*7.12</f>
        <v/>
      </c>
      <c r="Q39" s="63" t="inlineStr">
        <is>
          <t>Turbine Hall</t>
        </is>
      </c>
      <c r="R39" s="59" t="inlineStr">
        <is>
          <t>12-06-2026</t>
        </is>
      </c>
      <c r="S39" s="59" t="inlineStr">
        <is>
          <t>Peter</t>
        </is>
      </c>
      <c r="T39" s="63" t="inlineStr">
        <is>
          <t>N/A</t>
        </is>
      </c>
      <c r="U39" s="63" t="inlineStr">
        <is>
          <t>N/A</t>
        </is>
      </c>
    </row>
    <row r="40">
      <c r="A40" s="42" t="inlineStr">
        <is>
          <t>Lostock Fabric</t>
        </is>
      </c>
      <c r="B40" s="43" t="n">
        <v>1</v>
      </c>
      <c r="C40" s="55" t="n">
        <v>306</v>
      </c>
      <c r="D40" s="45" t="n">
        <v>0.34</v>
      </c>
      <c r="E40" s="45" t="n">
        <v>0.34</v>
      </c>
      <c r="F40" s="56" t="inlineStr">
        <is>
          <t>G</t>
        </is>
      </c>
      <c r="G40" s="56" t="inlineStr">
        <is>
          <t>Turbine Hall</t>
        </is>
      </c>
      <c r="H40" s="56" t="n"/>
      <c r="I40" s="45">
        <f>D40+0.03</f>
        <v/>
      </c>
      <c r="J40" s="45">
        <f>E40+0.03</f>
        <v/>
      </c>
      <c r="K40" s="44">
        <f>B40*I40*J40</f>
        <v/>
      </c>
      <c r="L40" s="43" t="n">
        <v>190</v>
      </c>
      <c r="M40" s="57">
        <f>K40*L40</f>
        <v/>
      </c>
      <c r="N40" s="58">
        <f>B40*2</f>
        <v/>
      </c>
      <c r="O40" s="57">
        <f>M40+N40</f>
        <v/>
      </c>
      <c r="P40" s="45">
        <f>K40*7.12</f>
        <v/>
      </c>
      <c r="Q40" s="56" t="inlineStr">
        <is>
          <t>Turbine Hall</t>
        </is>
      </c>
      <c r="R40" s="42" t="inlineStr">
        <is>
          <t>12-06-2026</t>
        </is>
      </c>
      <c r="S40" s="42" t="inlineStr">
        <is>
          <t>Peter</t>
        </is>
      </c>
      <c r="T40" s="56" t="inlineStr">
        <is>
          <t>N/A</t>
        </is>
      </c>
      <c r="U40" s="56" t="inlineStr">
        <is>
          <t>N/A</t>
        </is>
      </c>
    </row>
    <row r="41">
      <c r="A41" s="59" t="inlineStr">
        <is>
          <t>Lostock Fabric</t>
        </is>
      </c>
      <c r="B41" s="60" t="n">
        <v>1</v>
      </c>
      <c r="C41" s="61" t="n">
        <v>308</v>
      </c>
      <c r="D41" s="62" t="n">
        <v>1.07</v>
      </c>
      <c r="E41" s="62" t="n">
        <v>0.25</v>
      </c>
      <c r="F41" s="63" t="inlineStr">
        <is>
          <t>G</t>
        </is>
      </c>
      <c r="G41" s="63" t="inlineStr">
        <is>
          <t>Turbine Hall</t>
        </is>
      </c>
      <c r="H41" s="63" t="n"/>
      <c r="I41" s="62">
        <f>D41+0.03</f>
        <v/>
      </c>
      <c r="J41" s="62">
        <f>E41+0.03</f>
        <v/>
      </c>
      <c r="K41" s="64">
        <f>B41*I41*J41</f>
        <v/>
      </c>
      <c r="L41" s="60" t="n">
        <v>190</v>
      </c>
      <c r="M41" s="65">
        <f>K41*L41</f>
        <v/>
      </c>
      <c r="N41" s="66">
        <f>B41*2</f>
        <v/>
      </c>
      <c r="O41" s="65">
        <f>M41+N41</f>
        <v/>
      </c>
      <c r="P41" s="62">
        <f>K41*7.12</f>
        <v/>
      </c>
      <c r="Q41" s="63" t="inlineStr">
        <is>
          <t>Turbine Hall</t>
        </is>
      </c>
      <c r="R41" s="59" t="inlineStr">
        <is>
          <t>12-06-2026</t>
        </is>
      </c>
      <c r="S41" s="59" t="inlineStr">
        <is>
          <t>Ron</t>
        </is>
      </c>
      <c r="T41" s="63" t="inlineStr">
        <is>
          <t>N/A</t>
        </is>
      </c>
      <c r="U41" s="63" t="inlineStr">
        <is>
          <t>N/A</t>
        </is>
      </c>
    </row>
    <row r="42">
      <c r="A42" s="42" t="inlineStr">
        <is>
          <t>Lostock Fabric</t>
        </is>
      </c>
      <c r="B42" s="43" t="n">
        <v>1</v>
      </c>
      <c r="C42" s="55" t="n">
        <v>309</v>
      </c>
      <c r="D42" s="45" t="n">
        <v>1.82</v>
      </c>
      <c r="E42" s="45" t="n">
        <v>0.29</v>
      </c>
      <c r="F42" s="56" t="inlineStr">
        <is>
          <t>G/H</t>
        </is>
      </c>
      <c r="G42" s="56" t="inlineStr">
        <is>
          <t>Turbine Hall</t>
        </is>
      </c>
      <c r="H42" s="56" t="n"/>
      <c r="I42" s="45">
        <f>D42+0.03</f>
        <v/>
      </c>
      <c r="J42" s="45">
        <f>E42+0.03</f>
        <v/>
      </c>
      <c r="K42" s="44">
        <f>B42*I42*J42</f>
        <v/>
      </c>
      <c r="L42" s="43" t="n">
        <v>190</v>
      </c>
      <c r="M42" s="57">
        <f>K42*L42</f>
        <v/>
      </c>
      <c r="N42" s="58">
        <f>B42*2</f>
        <v/>
      </c>
      <c r="O42" s="57">
        <f>M42+N42</f>
        <v/>
      </c>
      <c r="P42" s="45">
        <f>K42*7.12</f>
        <v/>
      </c>
      <c r="Q42" s="56" t="inlineStr">
        <is>
          <t>Turbine Hall</t>
        </is>
      </c>
      <c r="R42" s="42" t="inlineStr">
        <is>
          <t>12-06-2026</t>
        </is>
      </c>
      <c r="S42" s="42" t="inlineStr">
        <is>
          <t>Peter</t>
        </is>
      </c>
      <c r="T42" s="56" t="inlineStr">
        <is>
          <t>/56</t>
        </is>
      </c>
      <c r="U42" s="56" t="inlineStr">
        <is>
          <t>/56</t>
        </is>
      </c>
    </row>
    <row r="43">
      <c r="A43" s="59" t="inlineStr">
        <is>
          <t>Lostock Fabric</t>
        </is>
      </c>
      <c r="B43" s="60" t="n">
        <v>1</v>
      </c>
      <c r="C43" s="61" t="n">
        <v>309</v>
      </c>
      <c r="D43" s="62" t="n">
        <v>0.58</v>
      </c>
      <c r="E43" s="62" t="n">
        <v>0.58</v>
      </c>
      <c r="F43" s="63" t="inlineStr">
        <is>
          <t>G/H</t>
        </is>
      </c>
      <c r="G43" s="63" t="inlineStr">
        <is>
          <t>Turbine Hall</t>
        </is>
      </c>
      <c r="H43" s="63" t="n"/>
      <c r="I43" s="62">
        <f>D43+0.03</f>
        <v/>
      </c>
      <c r="J43" s="62">
        <f>E43+0.03</f>
        <v/>
      </c>
      <c r="K43" s="64">
        <f>B43*I43*J43</f>
        <v/>
      </c>
      <c r="L43" s="60" t="n">
        <v>190</v>
      </c>
      <c r="M43" s="65">
        <f>K43*L43</f>
        <v/>
      </c>
      <c r="N43" s="66">
        <f>B43*2</f>
        <v/>
      </c>
      <c r="O43" s="65">
        <f>M43+N43</f>
        <v/>
      </c>
      <c r="P43" s="62">
        <f>K43*7.12</f>
        <v/>
      </c>
      <c r="Q43" s="63" t="inlineStr">
        <is>
          <t>Turbine Hall</t>
        </is>
      </c>
      <c r="R43" s="59" t="inlineStr">
        <is>
          <t>12-06-2026</t>
        </is>
      </c>
      <c r="S43" s="59" t="inlineStr">
        <is>
          <t>Peter</t>
        </is>
      </c>
      <c r="T43" s="63" t="inlineStr">
        <is>
          <t>/56</t>
        </is>
      </c>
      <c r="U43" s="63" t="inlineStr">
        <is>
          <t>/56</t>
        </is>
      </c>
    </row>
    <row r="44">
      <c r="A44" s="42" t="inlineStr">
        <is>
          <t>Lostock Fabric</t>
        </is>
      </c>
      <c r="B44" s="43" t="n">
        <v>1</v>
      </c>
      <c r="C44" s="55" t="n">
        <v>310</v>
      </c>
      <c r="D44" s="45" t="n">
        <v>0.36</v>
      </c>
      <c r="E44" s="45" t="n">
        <v>0.72</v>
      </c>
      <c r="F44" s="56" t="inlineStr">
        <is>
          <t>H</t>
        </is>
      </c>
      <c r="G44" s="56" t="inlineStr">
        <is>
          <t>Turbine Hall</t>
        </is>
      </c>
      <c r="H44" s="56" t="n"/>
      <c r="I44" s="45">
        <f>D44+0.03</f>
        <v/>
      </c>
      <c r="J44" s="45">
        <f>E44+0.03</f>
        <v/>
      </c>
      <c r="K44" s="44">
        <f>B44*I44*J44</f>
        <v/>
      </c>
      <c r="L44" s="43" t="n">
        <v>190</v>
      </c>
      <c r="M44" s="57">
        <f>K44*L44</f>
        <v/>
      </c>
      <c r="N44" s="58">
        <f>B44*2</f>
        <v/>
      </c>
      <c r="O44" s="57">
        <f>M44+N44</f>
        <v/>
      </c>
      <c r="P44" s="45">
        <f>K44*7.12</f>
        <v/>
      </c>
      <c r="Q44" s="56" t="inlineStr">
        <is>
          <t>Turbine Hall</t>
        </is>
      </c>
      <c r="R44" s="42" t="inlineStr">
        <is>
          <t>12-06-2026</t>
        </is>
      </c>
      <c r="S44" s="42" t="inlineStr">
        <is>
          <t>Peter</t>
        </is>
      </c>
      <c r="T44" s="56" t="inlineStr">
        <is>
          <t>N/A</t>
        </is>
      </c>
      <c r="U44" s="56" t="inlineStr">
        <is>
          <t>N/A</t>
        </is>
      </c>
    </row>
    <row r="45">
      <c r="A45" s="59" t="inlineStr">
        <is>
          <t>Lostock Fabric</t>
        </is>
      </c>
      <c r="B45" s="60" t="n">
        <v>2</v>
      </c>
      <c r="C45" s="61" t="n">
        <v>311</v>
      </c>
      <c r="D45" s="62" t="n">
        <v>0.66</v>
      </c>
      <c r="E45" s="62" t="n">
        <v>0.38</v>
      </c>
      <c r="F45" s="63" t="inlineStr">
        <is>
          <t>H</t>
        </is>
      </c>
      <c r="G45" s="63" t="inlineStr">
        <is>
          <t>Turbine Hall</t>
        </is>
      </c>
      <c r="H45" s="63" t="n"/>
      <c r="I45" s="62">
        <f>D45+0.03</f>
        <v/>
      </c>
      <c r="J45" s="62">
        <f>E45+0.03</f>
        <v/>
      </c>
      <c r="K45" s="64">
        <f>B45*I45*J45</f>
        <v/>
      </c>
      <c r="L45" s="60" t="n">
        <v>190</v>
      </c>
      <c r="M45" s="65">
        <f>K45*L45</f>
        <v/>
      </c>
      <c r="N45" s="66">
        <f>B45*2</f>
        <v/>
      </c>
      <c r="O45" s="65">
        <f>M45+N45</f>
        <v/>
      </c>
      <c r="P45" s="62">
        <f>K45*7.12</f>
        <v/>
      </c>
      <c r="Q45" s="63" t="inlineStr">
        <is>
          <t>Turbine Hall</t>
        </is>
      </c>
      <c r="R45" s="59" t="inlineStr">
        <is>
          <t>12-06-2026</t>
        </is>
      </c>
      <c r="S45" s="59" t="inlineStr">
        <is>
          <t>Ron</t>
        </is>
      </c>
      <c r="T45" s="63" t="inlineStr">
        <is>
          <t>N/A</t>
        </is>
      </c>
      <c r="U45" s="63" t="inlineStr">
        <is>
          <t>N/A</t>
        </is>
      </c>
    </row>
    <row r="46">
      <c r="A46" s="42" t="inlineStr">
        <is>
          <t>Lostock Fabric</t>
        </is>
      </c>
      <c r="B46" s="43" t="n">
        <v>1</v>
      </c>
      <c r="C46" s="55" t="n">
        <v>312</v>
      </c>
      <c r="D46" s="45" t="n">
        <v>0.36</v>
      </c>
      <c r="E46" s="45" t="n">
        <v>0.15</v>
      </c>
      <c r="F46" s="56" t="inlineStr">
        <is>
          <t>H</t>
        </is>
      </c>
      <c r="G46" s="56" t="inlineStr">
        <is>
          <t>Turbine Hall</t>
        </is>
      </c>
      <c r="H46" s="56" t="n"/>
      <c r="I46" s="45">
        <f>D46+0.03</f>
        <v/>
      </c>
      <c r="J46" s="45">
        <f>E46+0.03</f>
        <v/>
      </c>
      <c r="K46" s="44">
        <f>B46*I46*J46</f>
        <v/>
      </c>
      <c r="L46" s="43" t="n">
        <v>190</v>
      </c>
      <c r="M46" s="57">
        <f>K46*L46</f>
        <v/>
      </c>
      <c r="N46" s="58">
        <f>B46*2</f>
        <v/>
      </c>
      <c r="O46" s="57">
        <f>M46+N46</f>
        <v/>
      </c>
      <c r="P46" s="45">
        <f>K46*7.12</f>
        <v/>
      </c>
      <c r="Q46" s="56" t="inlineStr">
        <is>
          <t>Turbine Hall</t>
        </is>
      </c>
      <c r="R46" s="42" t="inlineStr">
        <is>
          <t>12-06-2026</t>
        </is>
      </c>
      <c r="S46" s="42" t="inlineStr">
        <is>
          <t>Ron</t>
        </is>
      </c>
      <c r="T46" s="56" t="inlineStr">
        <is>
          <t>N/A</t>
        </is>
      </c>
      <c r="U46" s="56" t="inlineStr">
        <is>
          <t>N/A</t>
        </is>
      </c>
    </row>
    <row r="47">
      <c r="A47" s="59" t="inlineStr">
        <is>
          <t>Lostock Fabric</t>
        </is>
      </c>
      <c r="B47" s="60" t="n">
        <v>1</v>
      </c>
      <c r="C47" s="61" t="n">
        <v>313</v>
      </c>
      <c r="D47" s="62" t="n">
        <v>0.36</v>
      </c>
      <c r="E47" s="62" t="n">
        <v>0.46</v>
      </c>
      <c r="F47" s="63" t="inlineStr">
        <is>
          <t>H</t>
        </is>
      </c>
      <c r="G47" s="63" t="inlineStr">
        <is>
          <t>Turbine Hall</t>
        </is>
      </c>
      <c r="H47" s="63" t="n"/>
      <c r="I47" s="62">
        <f>D47+0.03</f>
        <v/>
      </c>
      <c r="J47" s="62">
        <f>E47+0.03</f>
        <v/>
      </c>
      <c r="K47" s="64">
        <f>B47*I47*J47</f>
        <v/>
      </c>
      <c r="L47" s="60" t="n">
        <v>190</v>
      </c>
      <c r="M47" s="65">
        <f>K47*L47</f>
        <v/>
      </c>
      <c r="N47" s="66">
        <f>B47*2</f>
        <v/>
      </c>
      <c r="O47" s="65">
        <f>M47+N47</f>
        <v/>
      </c>
      <c r="P47" s="62">
        <f>K47*7.12</f>
        <v/>
      </c>
      <c r="Q47" s="63" t="inlineStr">
        <is>
          <t>Turbine Hall</t>
        </is>
      </c>
      <c r="R47" s="59" t="inlineStr">
        <is>
          <t>12-06-2026</t>
        </is>
      </c>
      <c r="S47" s="59" t="inlineStr">
        <is>
          <t>Ron</t>
        </is>
      </c>
      <c r="T47" s="63" t="inlineStr">
        <is>
          <t>N/A</t>
        </is>
      </c>
      <c r="U47" s="63" t="inlineStr">
        <is>
          <t>N/A</t>
        </is>
      </c>
    </row>
    <row r="48">
      <c r="A48" s="42" t="inlineStr">
        <is>
          <t>Lostock Fabric</t>
        </is>
      </c>
      <c r="B48" s="43" t="n">
        <v>1</v>
      </c>
      <c r="C48" s="55" t="n">
        <v>314</v>
      </c>
      <c r="D48" s="45" t="n">
        <v>0.66</v>
      </c>
      <c r="E48" s="45" t="n">
        <v>0.58</v>
      </c>
      <c r="F48" s="56" t="inlineStr">
        <is>
          <t>H</t>
        </is>
      </c>
      <c r="G48" s="56" t="inlineStr">
        <is>
          <t>Turbine Hall</t>
        </is>
      </c>
      <c r="H48" s="56" t="n"/>
      <c r="I48" s="45">
        <f>D48+0.03</f>
        <v/>
      </c>
      <c r="J48" s="45">
        <f>E48+0.03</f>
        <v/>
      </c>
      <c r="K48" s="44">
        <f>B48*I48*J48</f>
        <v/>
      </c>
      <c r="L48" s="43" t="n">
        <v>190</v>
      </c>
      <c r="M48" s="57">
        <f>K48*L48</f>
        <v/>
      </c>
      <c r="N48" s="58">
        <f>B48*2</f>
        <v/>
      </c>
      <c r="O48" s="57">
        <f>M48+N48</f>
        <v/>
      </c>
      <c r="P48" s="45">
        <f>K48*7.12</f>
        <v/>
      </c>
      <c r="Q48" s="56" t="inlineStr">
        <is>
          <t>Turbine Hall</t>
        </is>
      </c>
      <c r="R48" s="42" t="inlineStr">
        <is>
          <t>12-06-2026</t>
        </is>
      </c>
      <c r="S48" s="42" t="inlineStr">
        <is>
          <t>Ron</t>
        </is>
      </c>
      <c r="T48" s="56" t="inlineStr">
        <is>
          <t>N/A</t>
        </is>
      </c>
      <c r="U48" s="56" t="inlineStr">
        <is>
          <t>N/A</t>
        </is>
      </c>
    </row>
    <row r="49">
      <c r="A49" s="59" t="inlineStr">
        <is>
          <t>Lostock Fabric</t>
        </is>
      </c>
      <c r="B49" s="60" t="n">
        <v>2</v>
      </c>
      <c r="C49" s="61" t="n">
        <v>315</v>
      </c>
      <c r="D49" s="62" t="n">
        <v>1.8</v>
      </c>
      <c r="E49" s="62" t="n">
        <v>0.5</v>
      </c>
      <c r="F49" s="63" t="inlineStr">
        <is>
          <t>G/H</t>
        </is>
      </c>
      <c r="G49" s="63" t="inlineStr">
        <is>
          <t>Turbine Hall</t>
        </is>
      </c>
      <c r="H49" s="63" t="n"/>
      <c r="I49" s="62">
        <f>D49+0.03</f>
        <v/>
      </c>
      <c r="J49" s="62">
        <f>E49+0.03</f>
        <v/>
      </c>
      <c r="K49" s="64">
        <f>B49*I49*J49</f>
        <v/>
      </c>
      <c r="L49" s="60" t="n">
        <v>190</v>
      </c>
      <c r="M49" s="65">
        <f>K49*L49</f>
        <v/>
      </c>
      <c r="N49" s="66">
        <f>B49*2</f>
        <v/>
      </c>
      <c r="O49" s="65">
        <f>M49+N49</f>
        <v/>
      </c>
      <c r="P49" s="62">
        <f>K49*7.12</f>
        <v/>
      </c>
      <c r="Q49" s="63" t="inlineStr">
        <is>
          <t>Turbine Hall</t>
        </is>
      </c>
      <c r="R49" s="59" t="inlineStr">
        <is>
          <t>12-06-2026</t>
        </is>
      </c>
      <c r="S49" s="59" t="inlineStr">
        <is>
          <t>Peter</t>
        </is>
      </c>
      <c r="T49" s="63" t="inlineStr">
        <is>
          <t>log</t>
        </is>
      </c>
      <c r="U49" s="63" t="inlineStr">
        <is>
          <t>N/A</t>
        </is>
      </c>
    </row>
    <row r="50">
      <c r="A50" s="42" t="inlineStr">
        <is>
          <t>Lostock Fabric</t>
        </is>
      </c>
      <c r="B50" s="43" t="n">
        <v>2</v>
      </c>
      <c r="C50" s="55" t="n">
        <v>315</v>
      </c>
      <c r="D50" s="45" t="n">
        <v>0.57</v>
      </c>
      <c r="E50" s="45" t="n">
        <v>0.57</v>
      </c>
      <c r="F50" s="56" t="inlineStr">
        <is>
          <t>G/H</t>
        </is>
      </c>
      <c r="G50" s="56" t="inlineStr">
        <is>
          <t>Turbine Hall</t>
        </is>
      </c>
      <c r="H50" s="56" t="n"/>
      <c r="I50" s="45">
        <f>D50+0.03</f>
        <v/>
      </c>
      <c r="J50" s="45">
        <f>E50+0.03</f>
        <v/>
      </c>
      <c r="K50" s="44">
        <f>B50*I50*J50</f>
        <v/>
      </c>
      <c r="L50" s="43" t="n">
        <v>190</v>
      </c>
      <c r="M50" s="57">
        <f>K50*L50</f>
        <v/>
      </c>
      <c r="N50" s="58">
        <f>B50*2</f>
        <v/>
      </c>
      <c r="O50" s="57">
        <f>M50+N50</f>
        <v/>
      </c>
      <c r="P50" s="45">
        <f>K50*7.12</f>
        <v/>
      </c>
      <c r="Q50" s="56" t="inlineStr">
        <is>
          <t>Turbine Hall</t>
        </is>
      </c>
      <c r="R50" s="42" t="inlineStr">
        <is>
          <t>12-06-2026</t>
        </is>
      </c>
      <c r="S50" s="42" t="inlineStr">
        <is>
          <t>Peter</t>
        </is>
      </c>
      <c r="T50" s="56" t="inlineStr">
        <is>
          <t>log</t>
        </is>
      </c>
      <c r="U50" s="56" t="inlineStr">
        <is>
          <t>N/A</t>
        </is>
      </c>
    </row>
    <row r="51">
      <c r="A51" s="59" t="inlineStr">
        <is>
          <t>Lostock Fabric</t>
        </is>
      </c>
      <c r="B51" s="60" t="n">
        <v>2</v>
      </c>
      <c r="C51" s="61" t="n">
        <v>316</v>
      </c>
      <c r="D51" s="62" t="n">
        <v>0.36</v>
      </c>
      <c r="E51" s="62" t="n">
        <v>0.46</v>
      </c>
      <c r="F51" s="63" t="inlineStr">
        <is>
          <t>H</t>
        </is>
      </c>
      <c r="G51" s="63" t="inlineStr">
        <is>
          <t>Turbine Hall</t>
        </is>
      </c>
      <c r="H51" s="63" t="n"/>
      <c r="I51" s="62">
        <f>D51+0.03</f>
        <v/>
      </c>
      <c r="J51" s="62">
        <f>E51+0.03</f>
        <v/>
      </c>
      <c r="K51" s="64">
        <f>B51*I51*J51</f>
        <v/>
      </c>
      <c r="L51" s="60" t="n">
        <v>190</v>
      </c>
      <c r="M51" s="65">
        <f>K51*L51</f>
        <v/>
      </c>
      <c r="N51" s="66">
        <f>B51*2</f>
        <v/>
      </c>
      <c r="O51" s="65">
        <f>M51+N51</f>
        <v/>
      </c>
      <c r="P51" s="62">
        <f>K51*7.12</f>
        <v/>
      </c>
      <c r="Q51" s="63" t="inlineStr">
        <is>
          <t>Turbine Hall</t>
        </is>
      </c>
      <c r="R51" s="59" t="inlineStr">
        <is>
          <t>12-06-2026</t>
        </is>
      </c>
      <c r="S51" s="59" t="inlineStr">
        <is>
          <t>Ron</t>
        </is>
      </c>
      <c r="T51" s="63" t="inlineStr">
        <is>
          <t>N/A</t>
        </is>
      </c>
      <c r="U51" s="63" t="inlineStr">
        <is>
          <t>N/A</t>
        </is>
      </c>
    </row>
    <row r="52">
      <c r="A52" s="42" t="inlineStr">
        <is>
          <t>Lostock Fabric</t>
        </is>
      </c>
      <c r="B52" s="43" t="n">
        <v>2</v>
      </c>
      <c r="C52" s="55" t="n">
        <v>317</v>
      </c>
      <c r="D52" s="45" t="n">
        <v>0.36</v>
      </c>
      <c r="E52" s="45" t="n">
        <v>0.16</v>
      </c>
      <c r="F52" s="56" t="inlineStr">
        <is>
          <t>H</t>
        </is>
      </c>
      <c r="G52" s="56" t="inlineStr">
        <is>
          <t>Turbine Hall</t>
        </is>
      </c>
      <c r="H52" s="56" t="n"/>
      <c r="I52" s="45">
        <f>D52+0.03</f>
        <v/>
      </c>
      <c r="J52" s="45">
        <f>E52+0.03</f>
        <v/>
      </c>
      <c r="K52" s="44">
        <f>B52*I52*J52</f>
        <v/>
      </c>
      <c r="L52" s="43" t="n">
        <v>190</v>
      </c>
      <c r="M52" s="57">
        <f>K52*L52</f>
        <v/>
      </c>
      <c r="N52" s="58">
        <f>B52*2</f>
        <v/>
      </c>
      <c r="O52" s="57">
        <f>M52+N52</f>
        <v/>
      </c>
      <c r="P52" s="45">
        <f>K52*7.12</f>
        <v/>
      </c>
      <c r="Q52" s="56" t="inlineStr">
        <is>
          <t>Turbine Hall</t>
        </is>
      </c>
      <c r="R52" s="42" t="inlineStr">
        <is>
          <t>12-06-2026</t>
        </is>
      </c>
      <c r="S52" s="42" t="inlineStr">
        <is>
          <t>Ron</t>
        </is>
      </c>
      <c r="T52" s="56" t="inlineStr">
        <is>
          <t>N/A</t>
        </is>
      </c>
      <c r="U52" s="56" t="inlineStr">
        <is>
          <t>N/A</t>
        </is>
      </c>
    </row>
    <row r="53">
      <c r="A53" s="59" t="inlineStr">
        <is>
          <t>Lostock Fabric</t>
        </is>
      </c>
      <c r="B53" s="60" t="n">
        <v>2</v>
      </c>
      <c r="C53" s="61" t="n">
        <v>318</v>
      </c>
      <c r="D53" s="62" t="n">
        <v>0.66</v>
      </c>
      <c r="E53" s="62" t="n">
        <v>0.18</v>
      </c>
      <c r="F53" s="63" t="inlineStr">
        <is>
          <t>H</t>
        </is>
      </c>
      <c r="G53" s="63" t="inlineStr">
        <is>
          <t>Turbine Hall</t>
        </is>
      </c>
      <c r="H53" s="63" t="n"/>
      <c r="I53" s="62">
        <f>D53+0.03</f>
        <v/>
      </c>
      <c r="J53" s="62">
        <f>E53+0.03</f>
        <v/>
      </c>
      <c r="K53" s="64">
        <f>B53*I53*J53</f>
        <v/>
      </c>
      <c r="L53" s="60" t="n">
        <v>190</v>
      </c>
      <c r="M53" s="65">
        <f>K53*L53</f>
        <v/>
      </c>
      <c r="N53" s="66">
        <f>B53*2</f>
        <v/>
      </c>
      <c r="O53" s="65">
        <f>M53+N53</f>
        <v/>
      </c>
      <c r="P53" s="62">
        <f>K53*7.12</f>
        <v/>
      </c>
      <c r="Q53" s="63" t="inlineStr">
        <is>
          <t>Turbine Hall</t>
        </is>
      </c>
      <c r="R53" s="59" t="inlineStr">
        <is>
          <t>12-06-2026</t>
        </is>
      </c>
      <c r="S53" s="59" t="inlineStr">
        <is>
          <t>Peter</t>
        </is>
      </c>
      <c r="T53" s="63" t="inlineStr">
        <is>
          <t>log</t>
        </is>
      </c>
      <c r="U53" s="63" t="inlineStr">
        <is>
          <t>N/A</t>
        </is>
      </c>
    </row>
    <row r="54">
      <c r="A54" s="42" t="inlineStr">
        <is>
          <t>Lostock Fabric</t>
        </is>
      </c>
      <c r="B54" s="43" t="n">
        <v>2</v>
      </c>
      <c r="C54" s="55" t="n">
        <v>318</v>
      </c>
      <c r="D54" s="45" t="n">
        <v>0.21</v>
      </c>
      <c r="E54" s="45" t="n">
        <v>0.21</v>
      </c>
      <c r="F54" s="56" t="inlineStr">
        <is>
          <t>H</t>
        </is>
      </c>
      <c r="G54" s="56" t="inlineStr">
        <is>
          <t>Turbine Hall</t>
        </is>
      </c>
      <c r="H54" s="56" t="n"/>
      <c r="I54" s="45">
        <f>D54+0.03</f>
        <v/>
      </c>
      <c r="J54" s="45">
        <f>E54+0.03</f>
        <v/>
      </c>
      <c r="K54" s="44">
        <f>B54*I54*J54</f>
        <v/>
      </c>
      <c r="L54" s="43" t="n">
        <v>190</v>
      </c>
      <c r="M54" s="57">
        <f>K54*L54</f>
        <v/>
      </c>
      <c r="N54" s="58">
        <f>B54*2</f>
        <v/>
      </c>
      <c r="O54" s="57">
        <f>M54+N54</f>
        <v/>
      </c>
      <c r="P54" s="45">
        <f>K54*7.12</f>
        <v/>
      </c>
      <c r="Q54" s="56" t="inlineStr">
        <is>
          <t>Turbine Hall</t>
        </is>
      </c>
      <c r="R54" s="42" t="inlineStr">
        <is>
          <t>12-06-2026</t>
        </is>
      </c>
      <c r="S54" s="42" t="inlineStr">
        <is>
          <t>Peter</t>
        </is>
      </c>
      <c r="T54" s="56" t="inlineStr">
        <is>
          <t>log</t>
        </is>
      </c>
      <c r="U54" s="56" t="inlineStr">
        <is>
          <t>N/A</t>
        </is>
      </c>
    </row>
    <row r="55">
      <c r="A55" s="59" t="inlineStr">
        <is>
          <t>Lostock Fabric</t>
        </is>
      </c>
      <c r="B55" s="60" t="n">
        <v>1</v>
      </c>
      <c r="C55" s="61" t="n">
        <v>320</v>
      </c>
      <c r="D55" s="62" t="n">
        <v>1.75</v>
      </c>
      <c r="E55" s="62" t="n">
        <v>0.4</v>
      </c>
      <c r="F55" s="63" t="inlineStr">
        <is>
          <t>G/H</t>
        </is>
      </c>
      <c r="G55" s="63" t="inlineStr">
        <is>
          <t>Turbine Hall</t>
        </is>
      </c>
      <c r="H55" s="63" t="n"/>
      <c r="I55" s="62">
        <f>D55+0.03</f>
        <v/>
      </c>
      <c r="J55" s="62">
        <f>E55+0.03</f>
        <v/>
      </c>
      <c r="K55" s="64">
        <f>B55*I55*J55</f>
        <v/>
      </c>
      <c r="L55" s="60" t="n">
        <v>190</v>
      </c>
      <c r="M55" s="65">
        <f>K55*L55</f>
        <v/>
      </c>
      <c r="N55" s="66">
        <f>B55*2</f>
        <v/>
      </c>
      <c r="O55" s="65">
        <f>M55+N55</f>
        <v/>
      </c>
      <c r="P55" s="62">
        <f>K55*7.12</f>
        <v/>
      </c>
      <c r="Q55" s="63" t="inlineStr">
        <is>
          <t>Turbine Hall</t>
        </is>
      </c>
      <c r="R55" s="59" t="inlineStr">
        <is>
          <t>12-06-2026</t>
        </is>
      </c>
      <c r="S55" s="59" t="inlineStr">
        <is>
          <t>Peter</t>
        </is>
      </c>
      <c r="T55" s="63" t="inlineStr">
        <is>
          <t>N/A</t>
        </is>
      </c>
      <c r="U55" s="63" t="inlineStr">
        <is>
          <t>N/A</t>
        </is>
      </c>
    </row>
    <row r="56">
      <c r="A56" s="42" t="inlineStr">
        <is>
          <t>Lostock Fabric</t>
        </is>
      </c>
      <c r="B56" s="43" t="n">
        <v>1</v>
      </c>
      <c r="C56" s="55" t="n">
        <v>320</v>
      </c>
      <c r="D56" s="45" t="n">
        <v>0.5600000000000001</v>
      </c>
      <c r="E56" s="45" t="n">
        <v>0.5600000000000001</v>
      </c>
      <c r="F56" s="56" t="inlineStr">
        <is>
          <t>G/H</t>
        </is>
      </c>
      <c r="G56" s="56" t="inlineStr">
        <is>
          <t>Turbine Hall</t>
        </is>
      </c>
      <c r="H56" s="56" t="n"/>
      <c r="I56" s="45">
        <f>D56+0.03</f>
        <v/>
      </c>
      <c r="J56" s="45">
        <f>E56+0.03</f>
        <v/>
      </c>
      <c r="K56" s="44">
        <f>B56*I56*J56</f>
        <v/>
      </c>
      <c r="L56" s="43" t="n">
        <v>190</v>
      </c>
      <c r="M56" s="57">
        <f>K56*L56</f>
        <v/>
      </c>
      <c r="N56" s="58">
        <f>B56*2</f>
        <v/>
      </c>
      <c r="O56" s="57">
        <f>M56+N56</f>
        <v/>
      </c>
      <c r="P56" s="45">
        <f>K56*7.12</f>
        <v/>
      </c>
      <c r="Q56" s="56" t="inlineStr">
        <is>
          <t>Turbine Hall</t>
        </is>
      </c>
      <c r="R56" s="42" t="inlineStr">
        <is>
          <t>12-06-2026</t>
        </is>
      </c>
      <c r="S56" s="42" t="inlineStr">
        <is>
          <t>Peter</t>
        </is>
      </c>
      <c r="T56" s="56" t="inlineStr">
        <is>
          <t>N/A</t>
        </is>
      </c>
      <c r="U56" s="56" t="inlineStr">
        <is>
          <t>N/A</t>
        </is>
      </c>
    </row>
    <row r="57">
      <c r="A57" s="59" t="inlineStr">
        <is>
          <t>Lostock Fabric</t>
        </is>
      </c>
      <c r="B57" s="60" t="n">
        <v>1</v>
      </c>
      <c r="C57" s="61" t="n">
        <v>322</v>
      </c>
      <c r="D57" s="62" t="n">
        <v>1.81</v>
      </c>
      <c r="E57" s="62" t="n">
        <v>0.54</v>
      </c>
      <c r="F57" s="63" t="inlineStr">
        <is>
          <t>G/H</t>
        </is>
      </c>
      <c r="G57" s="63" t="inlineStr">
        <is>
          <t>Turbine Hall</t>
        </is>
      </c>
      <c r="H57" s="63" t="n"/>
      <c r="I57" s="62">
        <f>D57+0.03</f>
        <v/>
      </c>
      <c r="J57" s="62">
        <f>E57+0.03</f>
        <v/>
      </c>
      <c r="K57" s="64">
        <f>B57*I57*J57</f>
        <v/>
      </c>
      <c r="L57" s="60" t="n">
        <v>190</v>
      </c>
      <c r="M57" s="65">
        <f>K57*L57</f>
        <v/>
      </c>
      <c r="N57" s="66">
        <f>B57*2</f>
        <v/>
      </c>
      <c r="O57" s="65">
        <f>M57+N57</f>
        <v/>
      </c>
      <c r="P57" s="62">
        <f>K57*7.12</f>
        <v/>
      </c>
      <c r="Q57" s="63" t="inlineStr">
        <is>
          <t>Turbine Hall</t>
        </is>
      </c>
      <c r="R57" s="59" t="inlineStr">
        <is>
          <t>12-06-2026</t>
        </is>
      </c>
      <c r="S57" s="59" t="inlineStr">
        <is>
          <t>Peter</t>
        </is>
      </c>
      <c r="T57" s="63" t="inlineStr">
        <is>
          <t>/56</t>
        </is>
      </c>
      <c r="U57" s="63" t="inlineStr">
        <is>
          <t>/56</t>
        </is>
      </c>
    </row>
    <row r="58">
      <c r="A58" s="42" t="inlineStr">
        <is>
          <t>Lostock Fabric</t>
        </is>
      </c>
      <c r="B58" s="43" t="n">
        <v>1</v>
      </c>
      <c r="C58" s="55" t="n">
        <v>322</v>
      </c>
      <c r="D58" s="45" t="n">
        <v>0.58</v>
      </c>
      <c r="E58" s="45" t="n">
        <v>0.58</v>
      </c>
      <c r="F58" s="56" t="inlineStr">
        <is>
          <t>G/H</t>
        </is>
      </c>
      <c r="G58" s="56" t="inlineStr">
        <is>
          <t>Turbine Hall</t>
        </is>
      </c>
      <c r="H58" s="56" t="n"/>
      <c r="I58" s="45">
        <f>D58+0.03</f>
        <v/>
      </c>
      <c r="J58" s="45">
        <f>E58+0.03</f>
        <v/>
      </c>
      <c r="K58" s="44">
        <f>B58*I58*J58</f>
        <v/>
      </c>
      <c r="L58" s="43" t="n">
        <v>190</v>
      </c>
      <c r="M58" s="57">
        <f>K58*L58</f>
        <v/>
      </c>
      <c r="N58" s="58">
        <f>B58*2</f>
        <v/>
      </c>
      <c r="O58" s="57">
        <f>M58+N58</f>
        <v/>
      </c>
      <c r="P58" s="45">
        <f>K58*7.12</f>
        <v/>
      </c>
      <c r="Q58" s="56" t="inlineStr">
        <is>
          <t>Turbine Hall</t>
        </is>
      </c>
      <c r="R58" s="42" t="inlineStr">
        <is>
          <t>12-06-2026</t>
        </is>
      </c>
      <c r="S58" s="42" t="inlineStr">
        <is>
          <t>Peter</t>
        </is>
      </c>
      <c r="T58" s="56" t="inlineStr">
        <is>
          <t>/56</t>
        </is>
      </c>
      <c r="U58" s="56" t="inlineStr">
        <is>
          <t>/56</t>
        </is>
      </c>
    </row>
    <row r="59">
      <c r="A59" s="59" t="inlineStr">
        <is>
          <t>Lostock Fabric</t>
        </is>
      </c>
      <c r="B59" s="60" t="n">
        <v>2</v>
      </c>
      <c r="C59" s="61" t="n">
        <v>323</v>
      </c>
      <c r="D59" s="62" t="n">
        <v>0.36</v>
      </c>
      <c r="E59" s="62" t="n">
        <v>0.26</v>
      </c>
      <c r="F59" s="63" t="inlineStr">
        <is>
          <t>H</t>
        </is>
      </c>
      <c r="G59" s="63" t="inlineStr">
        <is>
          <t>Turbine Hall</t>
        </is>
      </c>
      <c r="H59" s="63" t="n"/>
      <c r="I59" s="62">
        <f>D59+0.03</f>
        <v/>
      </c>
      <c r="J59" s="62">
        <f>E59+0.03</f>
        <v/>
      </c>
      <c r="K59" s="64">
        <f>B59*I59*J59</f>
        <v/>
      </c>
      <c r="L59" s="60" t="n">
        <v>190</v>
      </c>
      <c r="M59" s="65">
        <f>K59*L59</f>
        <v/>
      </c>
      <c r="N59" s="66">
        <f>B59*2</f>
        <v/>
      </c>
      <c r="O59" s="65">
        <f>M59+N59</f>
        <v/>
      </c>
      <c r="P59" s="62">
        <f>K59*7.12</f>
        <v/>
      </c>
      <c r="Q59" s="63" t="inlineStr">
        <is>
          <t>Turbine Hall</t>
        </is>
      </c>
      <c r="R59" s="59" t="inlineStr">
        <is>
          <t>12-06-2026</t>
        </is>
      </c>
      <c r="S59" s="59" t="inlineStr">
        <is>
          <t>Ron</t>
        </is>
      </c>
      <c r="T59" s="63" t="inlineStr">
        <is>
          <t>N/A</t>
        </is>
      </c>
      <c r="U59" s="63" t="inlineStr">
        <is>
          <t>N/A</t>
        </is>
      </c>
    </row>
    <row r="60">
      <c r="A60" s="42" t="inlineStr">
        <is>
          <t>Lostock Fabric</t>
        </is>
      </c>
      <c r="B60" s="43" t="n">
        <v>2</v>
      </c>
      <c r="C60" s="55" t="n">
        <v>324</v>
      </c>
      <c r="D60" s="45" t="n">
        <v>0.36</v>
      </c>
      <c r="E60" s="45" t="n">
        <v>0.32</v>
      </c>
      <c r="F60" s="56" t="inlineStr">
        <is>
          <t>H</t>
        </is>
      </c>
      <c r="G60" s="56" t="inlineStr">
        <is>
          <t>Turbine Hall</t>
        </is>
      </c>
      <c r="H60" s="56" t="n"/>
      <c r="I60" s="45">
        <f>D60+0.03</f>
        <v/>
      </c>
      <c r="J60" s="45">
        <f>E60+0.03</f>
        <v/>
      </c>
      <c r="K60" s="44">
        <f>B60*I60*J60</f>
        <v/>
      </c>
      <c r="L60" s="43" t="n">
        <v>190</v>
      </c>
      <c r="M60" s="57">
        <f>K60*L60</f>
        <v/>
      </c>
      <c r="N60" s="58">
        <f>B60*2</f>
        <v/>
      </c>
      <c r="O60" s="57">
        <f>M60+N60</f>
        <v/>
      </c>
      <c r="P60" s="45">
        <f>K60*7.12</f>
        <v/>
      </c>
      <c r="Q60" s="56" t="inlineStr">
        <is>
          <t>Turbine Hall</t>
        </is>
      </c>
      <c r="R60" s="42" t="inlineStr">
        <is>
          <t>12-06-2026</t>
        </is>
      </c>
      <c r="S60" s="42" t="inlineStr">
        <is>
          <t>Peter</t>
        </is>
      </c>
      <c r="T60" s="56" t="inlineStr">
        <is>
          <t>N/A</t>
        </is>
      </c>
      <c r="U60" s="56" t="inlineStr">
        <is>
          <t>N/A</t>
        </is>
      </c>
    </row>
    <row r="61">
      <c r="A61" s="59" t="inlineStr">
        <is>
          <t>Lostock Fabric</t>
        </is>
      </c>
      <c r="B61" s="60" t="n">
        <v>2</v>
      </c>
      <c r="C61" s="61" t="n">
        <v>325</v>
      </c>
      <c r="D61" s="62" t="n">
        <v>0.36</v>
      </c>
      <c r="E61" s="62" t="n">
        <v>0.46</v>
      </c>
      <c r="F61" s="63" t="inlineStr">
        <is>
          <t>H</t>
        </is>
      </c>
      <c r="G61" s="63" t="inlineStr">
        <is>
          <t>Turbine Hall</t>
        </is>
      </c>
      <c r="H61" s="63" t="n"/>
      <c r="I61" s="62">
        <f>D61+0.03</f>
        <v/>
      </c>
      <c r="J61" s="62">
        <f>E61+0.03</f>
        <v/>
      </c>
      <c r="K61" s="64">
        <f>B61*I61*J61</f>
        <v/>
      </c>
      <c r="L61" s="60" t="n">
        <v>190</v>
      </c>
      <c r="M61" s="65">
        <f>K61*L61</f>
        <v/>
      </c>
      <c r="N61" s="66">
        <f>B61*2</f>
        <v/>
      </c>
      <c r="O61" s="65">
        <f>M61+N61</f>
        <v/>
      </c>
      <c r="P61" s="62">
        <f>K61*7.12</f>
        <v/>
      </c>
      <c r="Q61" s="63" t="inlineStr">
        <is>
          <t>Turbine Hall</t>
        </is>
      </c>
      <c r="R61" s="59" t="inlineStr">
        <is>
          <t>12-06-2026</t>
        </is>
      </c>
      <c r="S61" s="59" t="inlineStr">
        <is>
          <t>Peter</t>
        </is>
      </c>
      <c r="T61" s="63" t="inlineStr">
        <is>
          <t>N/A</t>
        </is>
      </c>
      <c r="U61" s="63" t="inlineStr">
        <is>
          <t>N/A</t>
        </is>
      </c>
    </row>
    <row r="62">
      <c r="A62" s="42" t="inlineStr">
        <is>
          <t>Lostock Fabric</t>
        </is>
      </c>
      <c r="B62" s="43" t="n">
        <v>4</v>
      </c>
      <c r="C62" s="55" t="n">
        <v>326</v>
      </c>
      <c r="D62" s="45" t="n">
        <v>0.66</v>
      </c>
      <c r="E62" s="45" t="n">
        <v>0.25</v>
      </c>
      <c r="F62" s="56" t="inlineStr">
        <is>
          <t>H</t>
        </is>
      </c>
      <c r="G62" s="56" t="inlineStr">
        <is>
          <t>Turbine Hall</t>
        </is>
      </c>
      <c r="H62" s="56" t="n"/>
      <c r="I62" s="45">
        <f>D62+0.03</f>
        <v/>
      </c>
      <c r="J62" s="45">
        <f>E62+0.03</f>
        <v/>
      </c>
      <c r="K62" s="44">
        <f>B62*I62*J62</f>
        <v/>
      </c>
      <c r="L62" s="43" t="n">
        <v>190</v>
      </c>
      <c r="M62" s="57">
        <f>K62*L62</f>
        <v/>
      </c>
      <c r="N62" s="58">
        <f>B62*2</f>
        <v/>
      </c>
      <c r="O62" s="57">
        <f>M62+N62</f>
        <v/>
      </c>
      <c r="P62" s="45">
        <f>K62*7.12</f>
        <v/>
      </c>
      <c r="Q62" s="56" t="inlineStr">
        <is>
          <t>Turbine Hall</t>
        </is>
      </c>
      <c r="R62" s="42" t="inlineStr">
        <is>
          <t>12-06-2026</t>
        </is>
      </c>
      <c r="S62" s="42" t="inlineStr">
        <is>
          <t>Peter</t>
        </is>
      </c>
      <c r="T62" s="56" t="inlineStr">
        <is>
          <t>N/A</t>
        </is>
      </c>
      <c r="U62" s="56" t="inlineStr">
        <is>
          <t>N/A</t>
        </is>
      </c>
    </row>
    <row r="63">
      <c r="A63" s="59" t="inlineStr">
        <is>
          <t>Lostock Fabric</t>
        </is>
      </c>
      <c r="B63" s="60" t="n">
        <v>4</v>
      </c>
      <c r="C63" s="61" t="n">
        <v>327</v>
      </c>
      <c r="D63" s="62" t="n">
        <v>1.78</v>
      </c>
      <c r="E63" s="62" t="n">
        <v>0.51</v>
      </c>
      <c r="F63" s="63" t="inlineStr">
        <is>
          <t>G</t>
        </is>
      </c>
      <c r="G63" s="63" t="inlineStr">
        <is>
          <t>Turbine Hall</t>
        </is>
      </c>
      <c r="H63" s="63" t="n"/>
      <c r="I63" s="62">
        <f>D63+0.03</f>
        <v/>
      </c>
      <c r="J63" s="62">
        <f>E63+0.03</f>
        <v/>
      </c>
      <c r="K63" s="64">
        <f>B63*I63*J63</f>
        <v/>
      </c>
      <c r="L63" s="60" t="n">
        <v>190</v>
      </c>
      <c r="M63" s="65">
        <f>K63*L63</f>
        <v/>
      </c>
      <c r="N63" s="66">
        <f>B63*2</f>
        <v/>
      </c>
      <c r="O63" s="65">
        <f>M63+N63</f>
        <v/>
      </c>
      <c r="P63" s="62">
        <f>K63*7.12</f>
        <v/>
      </c>
      <c r="Q63" s="63" t="inlineStr">
        <is>
          <t>Turbine Hall</t>
        </is>
      </c>
      <c r="R63" s="59" t="inlineStr">
        <is>
          <t>12-06-2026</t>
        </is>
      </c>
      <c r="S63" s="59" t="inlineStr">
        <is>
          <t>Ron</t>
        </is>
      </c>
      <c r="T63" s="63" t="inlineStr">
        <is>
          <t>N/A</t>
        </is>
      </c>
      <c r="U63" s="63" t="inlineStr">
        <is>
          <t>N/A</t>
        </is>
      </c>
    </row>
    <row r="64">
      <c r="A64" s="42" t="inlineStr">
        <is>
          <t>Lostock Fabric</t>
        </is>
      </c>
      <c r="B64" s="43" t="n">
        <v>1</v>
      </c>
      <c r="C64" s="55" t="n">
        <v>328</v>
      </c>
      <c r="D64" s="45" t="n">
        <v>1.25</v>
      </c>
      <c r="E64" s="45" t="n">
        <v>1.12</v>
      </c>
      <c r="F64" s="56" t="inlineStr">
        <is>
          <t>G</t>
        </is>
      </c>
      <c r="G64" s="56" t="inlineStr">
        <is>
          <t>Turbine Hall</t>
        </is>
      </c>
      <c r="H64" s="56" t="n"/>
      <c r="I64" s="45">
        <f>D64+0.03</f>
        <v/>
      </c>
      <c r="J64" s="45">
        <f>E64+0.03</f>
        <v/>
      </c>
      <c r="K64" s="44">
        <f>B64*I64*J64</f>
        <v/>
      </c>
      <c r="L64" s="43" t="n">
        <v>190</v>
      </c>
      <c r="M64" s="57">
        <f>K64*L64</f>
        <v/>
      </c>
      <c r="N64" s="58">
        <f>B64*2</f>
        <v/>
      </c>
      <c r="O64" s="57">
        <f>M64+N64</f>
        <v/>
      </c>
      <c r="P64" s="45">
        <f>K64*7.12</f>
        <v/>
      </c>
      <c r="Q64" s="56" t="inlineStr">
        <is>
          <t>Turbine Hall</t>
        </is>
      </c>
      <c r="R64" s="42" t="inlineStr">
        <is>
          <t>12-06-2026</t>
        </is>
      </c>
      <c r="S64" s="42" t="inlineStr">
        <is>
          <t>Ron</t>
        </is>
      </c>
      <c r="T64" s="56" t="inlineStr">
        <is>
          <t>N/A</t>
        </is>
      </c>
      <c r="U64" s="56" t="inlineStr">
        <is>
          <t>N/A</t>
        </is>
      </c>
    </row>
    <row r="65">
      <c r="A65" s="59" t="inlineStr">
        <is>
          <t>Lostock Fabric</t>
        </is>
      </c>
      <c r="B65" s="60" t="n">
        <v>1</v>
      </c>
      <c r="C65" s="61" t="n">
        <v>329</v>
      </c>
      <c r="D65" s="62" t="n">
        <v>1.25</v>
      </c>
      <c r="E65" s="62" t="n">
        <v>0.32</v>
      </c>
      <c r="F65" s="63" t="inlineStr">
        <is>
          <t>G/H</t>
        </is>
      </c>
      <c r="G65" s="63" t="inlineStr">
        <is>
          <t>Turbine Hall</t>
        </is>
      </c>
      <c r="H65" s="63" t="n"/>
      <c r="I65" s="62">
        <f>D65+0.03</f>
        <v/>
      </c>
      <c r="J65" s="62">
        <f>E65+0.03</f>
        <v/>
      </c>
      <c r="K65" s="64">
        <f>B65*I65*J65</f>
        <v/>
      </c>
      <c r="L65" s="60" t="n">
        <v>190</v>
      </c>
      <c r="M65" s="65">
        <f>K65*L65</f>
        <v/>
      </c>
      <c r="N65" s="66">
        <f>B65*2</f>
        <v/>
      </c>
      <c r="O65" s="65">
        <f>M65+N65</f>
        <v/>
      </c>
      <c r="P65" s="62">
        <f>K65*7.12</f>
        <v/>
      </c>
      <c r="Q65" s="63" t="inlineStr">
        <is>
          <t>Turbine Hall</t>
        </is>
      </c>
      <c r="R65" s="59" t="inlineStr">
        <is>
          <t>12-06-2026</t>
        </is>
      </c>
      <c r="S65" s="59" t="inlineStr">
        <is>
          <t>Peter</t>
        </is>
      </c>
      <c r="T65" s="63" t="inlineStr">
        <is>
          <t>N/A</t>
        </is>
      </c>
      <c r="U65" s="63" t="inlineStr">
        <is>
          <t>N/A</t>
        </is>
      </c>
    </row>
    <row r="66">
      <c r="A66" s="42" t="inlineStr">
        <is>
          <t>Lostock Fabric</t>
        </is>
      </c>
      <c r="B66" s="43" t="n">
        <v>1</v>
      </c>
      <c r="C66" s="55" t="n">
        <v>329</v>
      </c>
      <c r="D66" s="45" t="n">
        <v>0.4</v>
      </c>
      <c r="E66" s="45" t="n">
        <v>0.4</v>
      </c>
      <c r="F66" s="56" t="inlineStr">
        <is>
          <t>G/H</t>
        </is>
      </c>
      <c r="G66" s="56" t="inlineStr">
        <is>
          <t>Turbine Hall</t>
        </is>
      </c>
      <c r="H66" s="56" t="n"/>
      <c r="I66" s="45">
        <f>D66+0.03</f>
        <v/>
      </c>
      <c r="J66" s="45">
        <f>E66+0.03</f>
        <v/>
      </c>
      <c r="K66" s="44">
        <f>B66*I66*J66</f>
        <v/>
      </c>
      <c r="L66" s="43" t="n">
        <v>190</v>
      </c>
      <c r="M66" s="57">
        <f>K66*L66</f>
        <v/>
      </c>
      <c r="N66" s="58">
        <f>B66*2</f>
        <v/>
      </c>
      <c r="O66" s="57">
        <f>M66+N66</f>
        <v/>
      </c>
      <c r="P66" s="45">
        <f>K66*7.12</f>
        <v/>
      </c>
      <c r="Q66" s="56" t="inlineStr">
        <is>
          <t>Turbine Hall</t>
        </is>
      </c>
      <c r="R66" s="42" t="inlineStr">
        <is>
          <t>12-06-2026</t>
        </is>
      </c>
      <c r="S66" s="42" t="inlineStr">
        <is>
          <t>Peter</t>
        </is>
      </c>
      <c r="T66" s="56" t="inlineStr">
        <is>
          <t>N/A</t>
        </is>
      </c>
      <c r="U66" s="56" t="inlineStr">
        <is>
          <t>N/A</t>
        </is>
      </c>
    </row>
    <row r="67">
      <c r="A67" s="59" t="inlineStr">
        <is>
          <t>Lostock Fabric</t>
        </is>
      </c>
      <c r="B67" s="60" t="n">
        <v>4</v>
      </c>
      <c r="C67" s="61" t="n">
        <v>330</v>
      </c>
      <c r="D67" s="62" t="n">
        <v>2.13</v>
      </c>
      <c r="E67" s="62" t="n">
        <v>0.96</v>
      </c>
      <c r="F67" s="63" t="inlineStr">
        <is>
          <t>G</t>
        </is>
      </c>
      <c r="G67" s="63" t="inlineStr">
        <is>
          <t>Turbine Hall</t>
        </is>
      </c>
      <c r="H67" s="63" t="n"/>
      <c r="I67" s="62">
        <f>D67+0.03</f>
        <v/>
      </c>
      <c r="J67" s="62">
        <f>E67+0.03</f>
        <v/>
      </c>
      <c r="K67" s="64">
        <f>B67*I67*J67</f>
        <v/>
      </c>
      <c r="L67" s="60" t="n">
        <v>190</v>
      </c>
      <c r="M67" s="65">
        <f>K67*L67</f>
        <v/>
      </c>
      <c r="N67" s="66">
        <f>B67*2</f>
        <v/>
      </c>
      <c r="O67" s="65">
        <f>M67+N67</f>
        <v/>
      </c>
      <c r="P67" s="62">
        <f>K67*7.12</f>
        <v/>
      </c>
      <c r="Q67" s="63" t="inlineStr">
        <is>
          <t>Turbine Hall</t>
        </is>
      </c>
      <c r="R67" s="59" t="inlineStr">
        <is>
          <t>12-06-2026</t>
        </is>
      </c>
      <c r="S67" s="59" t="inlineStr">
        <is>
          <t>Peter</t>
        </is>
      </c>
      <c r="T67" s="63" t="inlineStr">
        <is>
          <t>N/A</t>
        </is>
      </c>
      <c r="U67" s="63" t="inlineStr">
        <is>
          <t>N/A</t>
        </is>
      </c>
    </row>
    <row r="68">
      <c r="A68" s="42" t="inlineStr">
        <is>
          <t>Lostock Fabric</t>
        </is>
      </c>
      <c r="B68" s="43" t="n">
        <v>1</v>
      </c>
      <c r="C68" s="55" t="n">
        <v>331</v>
      </c>
      <c r="D68" s="45" t="n">
        <v>1.07</v>
      </c>
      <c r="E68" s="45" t="n">
        <v>0.3</v>
      </c>
      <c r="F68" s="56" t="inlineStr">
        <is>
          <t>H</t>
        </is>
      </c>
      <c r="G68" s="56" t="inlineStr">
        <is>
          <t>Turbine Hall</t>
        </is>
      </c>
      <c r="H68" s="56" t="n"/>
      <c r="I68" s="45">
        <f>D68+0.03</f>
        <v/>
      </c>
      <c r="J68" s="45">
        <f>E68+0.03</f>
        <v/>
      </c>
      <c r="K68" s="44">
        <f>B68*I68*J68</f>
        <v/>
      </c>
      <c r="L68" s="43" t="n">
        <v>190</v>
      </c>
      <c r="M68" s="57">
        <f>K68*L68</f>
        <v/>
      </c>
      <c r="N68" s="58">
        <f>B68*2</f>
        <v/>
      </c>
      <c r="O68" s="57">
        <f>M68+N68</f>
        <v/>
      </c>
      <c r="P68" s="45">
        <f>K68*7.12</f>
        <v/>
      </c>
      <c r="Q68" s="56" t="inlineStr">
        <is>
          <t>Turbine Hall</t>
        </is>
      </c>
      <c r="R68" s="42" t="inlineStr">
        <is>
          <t>12-06-2026</t>
        </is>
      </c>
      <c r="S68" s="42" t="inlineStr">
        <is>
          <t>Peter</t>
        </is>
      </c>
      <c r="T68" s="56" t="inlineStr">
        <is>
          <t>N/A</t>
        </is>
      </c>
      <c r="U68" s="56" t="inlineStr">
        <is>
          <t>N/A</t>
        </is>
      </c>
    </row>
    <row r="69">
      <c r="A69" s="59" t="inlineStr">
        <is>
          <t>Lostock Fabric</t>
        </is>
      </c>
      <c r="B69" s="60" t="n">
        <v>1</v>
      </c>
      <c r="C69" s="61" t="n">
        <v>331</v>
      </c>
      <c r="D69" s="62" t="n">
        <v>0.34</v>
      </c>
      <c r="E69" s="62" t="n">
        <v>0.34</v>
      </c>
      <c r="F69" s="63" t="inlineStr">
        <is>
          <t>H</t>
        </is>
      </c>
      <c r="G69" s="63" t="inlineStr">
        <is>
          <t>Turbine Hall</t>
        </is>
      </c>
      <c r="H69" s="63" t="n"/>
      <c r="I69" s="62">
        <f>D69+0.03</f>
        <v/>
      </c>
      <c r="J69" s="62">
        <f>E69+0.03</f>
        <v/>
      </c>
      <c r="K69" s="64">
        <f>B69*I69*J69</f>
        <v/>
      </c>
      <c r="L69" s="60" t="n">
        <v>190</v>
      </c>
      <c r="M69" s="65">
        <f>K69*L69</f>
        <v/>
      </c>
      <c r="N69" s="66">
        <f>B69*2</f>
        <v/>
      </c>
      <c r="O69" s="65">
        <f>M69+N69</f>
        <v/>
      </c>
      <c r="P69" s="62">
        <f>K69*7.12</f>
        <v/>
      </c>
      <c r="Q69" s="63" t="inlineStr">
        <is>
          <t>Turbine Hall</t>
        </is>
      </c>
      <c r="R69" s="59" t="inlineStr">
        <is>
          <t>12-06-2026</t>
        </is>
      </c>
      <c r="S69" s="59" t="inlineStr">
        <is>
          <t>Peter</t>
        </is>
      </c>
      <c r="T69" s="63" t="inlineStr">
        <is>
          <t>N/A</t>
        </is>
      </c>
      <c r="U69" s="63" t="inlineStr">
        <is>
          <t>N/A</t>
        </is>
      </c>
    </row>
    <row r="70">
      <c r="A70" s="42" t="inlineStr">
        <is>
          <t>Lostock Fabric</t>
        </is>
      </c>
      <c r="B70" s="43" t="n">
        <v>1</v>
      </c>
      <c r="C70" s="55" t="n">
        <v>332</v>
      </c>
      <c r="D70" s="45" t="n">
        <v>0.66</v>
      </c>
      <c r="E70" s="45" t="n">
        <v>0.34</v>
      </c>
      <c r="F70" s="56" t="inlineStr">
        <is>
          <t>H</t>
        </is>
      </c>
      <c r="G70" s="56" t="inlineStr">
        <is>
          <t>Turbine Hall</t>
        </is>
      </c>
      <c r="H70" s="56" t="n"/>
      <c r="I70" s="45">
        <f>D70+0.03</f>
        <v/>
      </c>
      <c r="J70" s="45">
        <f>E70+0.03</f>
        <v/>
      </c>
      <c r="K70" s="44">
        <f>B70*I70*J70</f>
        <v/>
      </c>
      <c r="L70" s="43" t="n">
        <v>190</v>
      </c>
      <c r="M70" s="57">
        <f>K70*L70</f>
        <v/>
      </c>
      <c r="N70" s="58">
        <f>B70*2</f>
        <v/>
      </c>
      <c r="O70" s="57">
        <f>M70+N70</f>
        <v/>
      </c>
      <c r="P70" s="45">
        <f>K70*7.12</f>
        <v/>
      </c>
      <c r="Q70" s="56" t="inlineStr">
        <is>
          <t>Turbine Hall</t>
        </is>
      </c>
      <c r="R70" s="42" t="inlineStr">
        <is>
          <t>12-06-2026</t>
        </is>
      </c>
      <c r="S70" s="42" t="inlineStr">
        <is>
          <t>Peter</t>
        </is>
      </c>
      <c r="T70" s="56" t="inlineStr">
        <is>
          <t>5 Zs</t>
        </is>
      </c>
      <c r="U70" s="56" t="inlineStr">
        <is>
          <t>N/A</t>
        </is>
      </c>
    </row>
    <row r="71">
      <c r="A71" s="59" t="inlineStr">
        <is>
          <t>Lostock Fabric</t>
        </is>
      </c>
      <c r="B71" s="60" t="n">
        <v>1</v>
      </c>
      <c r="C71" s="61" t="n">
        <v>333</v>
      </c>
      <c r="D71" s="62" t="n">
        <v>0.75</v>
      </c>
      <c r="E71" s="62" t="n">
        <v>0.32</v>
      </c>
      <c r="F71" s="63" t="inlineStr">
        <is>
          <t>G</t>
        </is>
      </c>
      <c r="G71" s="63" t="inlineStr">
        <is>
          <t>Turbine Hall</t>
        </is>
      </c>
      <c r="H71" s="63" t="n"/>
      <c r="I71" s="62">
        <f>D71+0.03</f>
        <v/>
      </c>
      <c r="J71" s="62">
        <f>E71+0.03</f>
        <v/>
      </c>
      <c r="K71" s="64">
        <f>B71*I71*J71</f>
        <v/>
      </c>
      <c r="L71" s="60" t="n">
        <v>190</v>
      </c>
      <c r="M71" s="65">
        <f>K71*L71</f>
        <v/>
      </c>
      <c r="N71" s="66">
        <f>B71*2</f>
        <v/>
      </c>
      <c r="O71" s="65">
        <f>M71+N71</f>
        <v/>
      </c>
      <c r="P71" s="62">
        <f>K71*7.12</f>
        <v/>
      </c>
      <c r="Q71" s="63" t="inlineStr">
        <is>
          <t>Turbine Hall</t>
        </is>
      </c>
      <c r="R71" s="59" t="inlineStr">
        <is>
          <t>12-06-2026</t>
        </is>
      </c>
      <c r="S71" s="59" t="inlineStr">
        <is>
          <t>Ron</t>
        </is>
      </c>
      <c r="T71" s="63" t="inlineStr">
        <is>
          <t>N/A</t>
        </is>
      </c>
      <c r="U71" s="63" t="inlineStr">
        <is>
          <t>N/A</t>
        </is>
      </c>
    </row>
    <row r="72">
      <c r="A72" s="42" t="inlineStr">
        <is>
          <t>Lostock Fabric</t>
        </is>
      </c>
      <c r="B72" s="43" t="n">
        <v>12</v>
      </c>
      <c r="C72" s="55" t="n">
        <v>1</v>
      </c>
      <c r="D72" s="45" t="n">
        <v>0.66</v>
      </c>
      <c r="E72" s="45" t="n">
        <v>0.29</v>
      </c>
      <c r="F72" s="56" t="inlineStr">
        <is>
          <t>G</t>
        </is>
      </c>
      <c r="G72" s="56" t="n"/>
      <c r="H72" s="56" t="n"/>
      <c r="I72" s="45">
        <f>D72+0.03</f>
        <v/>
      </c>
      <c r="J72" s="45">
        <f>E72+0.03</f>
        <v/>
      </c>
      <c r="K72" s="44">
        <f>B72*I72*J72</f>
        <v/>
      </c>
      <c r="L72" s="43" t="n">
        <v>190</v>
      </c>
      <c r="M72" s="57">
        <f>K72*L72</f>
        <v/>
      </c>
      <c r="N72" s="58">
        <f>B72*2</f>
        <v/>
      </c>
      <c r="O72" s="57">
        <f>M72+N72</f>
        <v/>
      </c>
      <c r="P72" s="45">
        <f>K72*7.12</f>
        <v/>
      </c>
      <c r="Q72" s="56" t="inlineStr">
        <is>
          <t>Dak</t>
        </is>
      </c>
      <c r="R72" s="42" t="inlineStr">
        <is>
          <t>09-06-2026</t>
        </is>
      </c>
      <c r="S72" s="42" t="inlineStr">
        <is>
          <t>Peter</t>
        </is>
      </c>
      <c r="T72" s="56" t="inlineStr">
        <is>
          <t>N/A</t>
        </is>
      </c>
      <c r="U72" s="56" t="inlineStr">
        <is>
          <t>N/A</t>
        </is>
      </c>
    </row>
    <row r="73">
      <c r="A73" s="59" t="inlineStr">
        <is>
          <t>Lostock Fabric</t>
        </is>
      </c>
      <c r="B73" s="60" t="n">
        <v>24</v>
      </c>
      <c r="C73" s="61" t="n">
        <v>2</v>
      </c>
      <c r="D73" s="62" t="n">
        <v>1.03</v>
      </c>
      <c r="E73" s="62" t="n">
        <v>0.28</v>
      </c>
      <c r="F73" s="63" t="inlineStr">
        <is>
          <t>G/H</t>
        </is>
      </c>
      <c r="G73" s="63" t="n"/>
      <c r="H73" s="63" t="n"/>
      <c r="I73" s="62">
        <f>D73+0.03</f>
        <v/>
      </c>
      <c r="J73" s="62">
        <f>E73+0.03</f>
        <v/>
      </c>
      <c r="K73" s="64">
        <f>B73*I73*J73</f>
        <v/>
      </c>
      <c r="L73" s="60" t="n">
        <v>190</v>
      </c>
      <c r="M73" s="65">
        <f>K73*L73</f>
        <v/>
      </c>
      <c r="N73" s="66">
        <f>B73*2</f>
        <v/>
      </c>
      <c r="O73" s="65">
        <f>M73+N73</f>
        <v/>
      </c>
      <c r="P73" s="62">
        <f>K73*7.12</f>
        <v/>
      </c>
      <c r="Q73" s="63" t="inlineStr">
        <is>
          <t>Dak</t>
        </is>
      </c>
      <c r="R73" s="59" t="inlineStr">
        <is>
          <t>09-06-2026</t>
        </is>
      </c>
      <c r="S73" s="59" t="inlineStr">
        <is>
          <t>Peter</t>
        </is>
      </c>
      <c r="T73" s="63" t="inlineStr">
        <is>
          <t>/56</t>
        </is>
      </c>
      <c r="U73" s="63" t="inlineStr">
        <is>
          <t>/56</t>
        </is>
      </c>
    </row>
    <row r="74">
      <c r="A74" s="42" t="inlineStr">
        <is>
          <t>Lostock Fabric</t>
        </is>
      </c>
      <c r="B74" s="43" t="n">
        <v>24</v>
      </c>
      <c r="C74" s="55" t="n">
        <v>2</v>
      </c>
      <c r="D74" s="45" t="n">
        <v>0.33</v>
      </c>
      <c r="E74" s="45" t="n">
        <v>0.33</v>
      </c>
      <c r="F74" s="56" t="inlineStr">
        <is>
          <t>G/H</t>
        </is>
      </c>
      <c r="G74" s="56" t="n"/>
      <c r="H74" s="56" t="n"/>
      <c r="I74" s="45">
        <f>D74+0.03</f>
        <v/>
      </c>
      <c r="J74" s="45">
        <f>E74+0.03</f>
        <v/>
      </c>
      <c r="K74" s="44">
        <f>B74*I74*J74</f>
        <v/>
      </c>
      <c r="L74" s="43" t="n">
        <v>190</v>
      </c>
      <c r="M74" s="57">
        <f>K74*L74</f>
        <v/>
      </c>
      <c r="N74" s="58">
        <f>B74*2</f>
        <v/>
      </c>
      <c r="O74" s="57">
        <f>M74+N74</f>
        <v/>
      </c>
      <c r="P74" s="45">
        <f>K74*7.12</f>
        <v/>
      </c>
      <c r="Q74" s="56" t="inlineStr">
        <is>
          <t>Dak</t>
        </is>
      </c>
      <c r="R74" s="42" t="inlineStr">
        <is>
          <t>09-06-2026</t>
        </is>
      </c>
      <c r="S74" s="42" t="inlineStr">
        <is>
          <t>Peter</t>
        </is>
      </c>
      <c r="T74" s="56" t="inlineStr">
        <is>
          <t>/56</t>
        </is>
      </c>
      <c r="U74" s="56" t="inlineStr">
        <is>
          <t>/56</t>
        </is>
      </c>
    </row>
    <row r="75">
      <c r="A75" s="59" t="inlineStr">
        <is>
          <t>Lostock Fabric</t>
        </is>
      </c>
      <c r="B75" s="60" t="n">
        <v>36</v>
      </c>
      <c r="C75" s="61" t="n">
        <v>3</v>
      </c>
      <c r="D75" s="62" t="n">
        <v>0.72</v>
      </c>
      <c r="E75" s="62" t="n">
        <v>0.14</v>
      </c>
      <c r="F75" s="63" t="inlineStr">
        <is>
          <t>G/H</t>
        </is>
      </c>
      <c r="G75" s="63" t="n"/>
      <c r="H75" s="63" t="n"/>
      <c r="I75" s="62">
        <f>D75+0.03</f>
        <v/>
      </c>
      <c r="J75" s="62">
        <f>E75+0.03</f>
        <v/>
      </c>
      <c r="K75" s="64">
        <f>B75*I75*J75</f>
        <v/>
      </c>
      <c r="L75" s="60" t="n">
        <v>190</v>
      </c>
      <c r="M75" s="65">
        <f>K75*L75</f>
        <v/>
      </c>
      <c r="N75" s="66">
        <f>B75*2</f>
        <v/>
      </c>
      <c r="O75" s="65">
        <f>M75+N75</f>
        <v/>
      </c>
      <c r="P75" s="62">
        <f>K75*7.12</f>
        <v/>
      </c>
      <c r="Q75" s="63" t="inlineStr">
        <is>
          <t>Dak</t>
        </is>
      </c>
      <c r="R75" s="59" t="inlineStr">
        <is>
          <t>09-06-2026</t>
        </is>
      </c>
      <c r="S75" s="59" t="inlineStr">
        <is>
          <t>Peter</t>
        </is>
      </c>
      <c r="T75" s="63" t="inlineStr">
        <is>
          <t>be</t>
        </is>
      </c>
      <c r="U75" s="63" t="inlineStr">
        <is>
          <t>N/A</t>
        </is>
      </c>
    </row>
    <row r="76">
      <c r="A76" s="42" t="inlineStr">
        <is>
          <t>Lostock Fabric</t>
        </is>
      </c>
      <c r="B76" s="43" t="n">
        <v>36</v>
      </c>
      <c r="C76" s="55" t="n">
        <v>3</v>
      </c>
      <c r="D76" s="45" t="n">
        <v>0.23</v>
      </c>
      <c r="E76" s="45" t="n">
        <v>0.23</v>
      </c>
      <c r="F76" s="56" t="inlineStr">
        <is>
          <t>G/H</t>
        </is>
      </c>
      <c r="G76" s="56" t="n"/>
      <c r="H76" s="56" t="n"/>
      <c r="I76" s="45">
        <f>D76+0.03</f>
        <v/>
      </c>
      <c r="J76" s="45">
        <f>E76+0.03</f>
        <v/>
      </c>
      <c r="K76" s="44">
        <f>B76*I76*J76</f>
        <v/>
      </c>
      <c r="L76" s="43" t="n">
        <v>190</v>
      </c>
      <c r="M76" s="57">
        <f>K76*L76</f>
        <v/>
      </c>
      <c r="N76" s="58">
        <f>B76*2</f>
        <v/>
      </c>
      <c r="O76" s="57">
        <f>M76+N76</f>
        <v/>
      </c>
      <c r="P76" s="45">
        <f>K76*7.12</f>
        <v/>
      </c>
      <c r="Q76" s="56" t="inlineStr">
        <is>
          <t>Dak</t>
        </is>
      </c>
      <c r="R76" s="42" t="inlineStr">
        <is>
          <t>09-06-2026</t>
        </is>
      </c>
      <c r="S76" s="42" t="inlineStr">
        <is>
          <t>Peter</t>
        </is>
      </c>
      <c r="T76" s="56" t="inlineStr">
        <is>
          <t>be</t>
        </is>
      </c>
      <c r="U76" s="56" t="inlineStr">
        <is>
          <t>N/A</t>
        </is>
      </c>
    </row>
    <row r="77">
      <c r="A77" s="59" t="inlineStr">
        <is>
          <t>Lostock Fabric</t>
        </is>
      </c>
      <c r="B77" s="60" t="n">
        <v>12</v>
      </c>
      <c r="C77" s="61" t="n">
        <v>4</v>
      </c>
      <c r="D77" s="62" t="n">
        <v>0.75</v>
      </c>
      <c r="E77" s="62" t="n">
        <v>0.32</v>
      </c>
      <c r="F77" s="63" t="inlineStr">
        <is>
          <t>G</t>
        </is>
      </c>
      <c r="G77" s="63" t="n"/>
      <c r="H77" s="63" t="n"/>
      <c r="I77" s="62">
        <f>D77+0.03</f>
        <v/>
      </c>
      <c r="J77" s="62">
        <f>E77+0.03</f>
        <v/>
      </c>
      <c r="K77" s="64">
        <f>B77*I77*J77</f>
        <v/>
      </c>
      <c r="L77" s="60" t="n">
        <v>190</v>
      </c>
      <c r="M77" s="65">
        <f>K77*L77</f>
        <v/>
      </c>
      <c r="N77" s="66">
        <f>B77*2</f>
        <v/>
      </c>
      <c r="O77" s="65">
        <f>M77+N77</f>
        <v/>
      </c>
      <c r="P77" s="62">
        <f>K77*7.12</f>
        <v/>
      </c>
      <c r="Q77" s="63" t="inlineStr">
        <is>
          <t>Dak</t>
        </is>
      </c>
      <c r="R77" s="59" t="inlineStr">
        <is>
          <t>09-06-2026</t>
        </is>
      </c>
      <c r="S77" s="59" t="inlineStr">
        <is>
          <t>Peter</t>
        </is>
      </c>
      <c r="T77" s="63" t="inlineStr">
        <is>
          <t>N/A</t>
        </is>
      </c>
      <c r="U77" s="63" t="inlineStr">
        <is>
          <t>N/A</t>
        </is>
      </c>
    </row>
    <row r="78">
      <c r="A78" s="42" t="inlineStr">
        <is>
          <t>Lostock Fabric</t>
        </is>
      </c>
      <c r="B78" s="43" t="n">
        <v>36</v>
      </c>
      <c r="C78" s="55" t="n">
        <v>5</v>
      </c>
      <c r="D78" s="45" t="n">
        <v>0.7</v>
      </c>
      <c r="E78" s="45" t="n">
        <v>0.5600000000000001</v>
      </c>
      <c r="F78" s="56" t="inlineStr">
        <is>
          <t>G</t>
        </is>
      </c>
      <c r="G78" s="56" t="n"/>
      <c r="H78" s="56" t="n"/>
      <c r="I78" s="45">
        <f>D78+0.03</f>
        <v/>
      </c>
      <c r="J78" s="45">
        <f>E78+0.03</f>
        <v/>
      </c>
      <c r="K78" s="44">
        <f>B78*I78*J78</f>
        <v/>
      </c>
      <c r="L78" s="43" t="n">
        <v>190</v>
      </c>
      <c r="M78" s="57">
        <f>K78*L78</f>
        <v/>
      </c>
      <c r="N78" s="58">
        <f>B78*2</f>
        <v/>
      </c>
      <c r="O78" s="57">
        <f>M78+N78</f>
        <v/>
      </c>
      <c r="P78" s="45">
        <f>K78*7.12</f>
        <v/>
      </c>
      <c r="Q78" s="56" t="inlineStr">
        <is>
          <t>Dak</t>
        </is>
      </c>
      <c r="R78" s="42" t="inlineStr">
        <is>
          <t>09-06-2026</t>
        </is>
      </c>
      <c r="S78" s="42" t="inlineStr">
        <is>
          <t>Peter</t>
        </is>
      </c>
      <c r="T78" s="56" t="inlineStr">
        <is>
          <t>/56</t>
        </is>
      </c>
      <c r="U78" s="56" t="inlineStr">
        <is>
          <t>/56</t>
        </is>
      </c>
    </row>
    <row r="79">
      <c r="A79" s="59" t="inlineStr">
        <is>
          <t>Lostock Fabric</t>
        </is>
      </c>
      <c r="B79" s="60" t="n">
        <v>12</v>
      </c>
      <c r="C79" s="61" t="n">
        <v>6</v>
      </c>
      <c r="D79" s="62" t="n">
        <v>1.03</v>
      </c>
      <c r="E79" s="62" t="n">
        <v>0.32</v>
      </c>
      <c r="F79" s="63" t="inlineStr">
        <is>
          <t>G</t>
        </is>
      </c>
      <c r="G79" s="63" t="n"/>
      <c r="H79" s="63" t="n"/>
      <c r="I79" s="62">
        <f>D79+0.03</f>
        <v/>
      </c>
      <c r="J79" s="62">
        <f>E79+0.03</f>
        <v/>
      </c>
      <c r="K79" s="64">
        <f>B79*I79*J79</f>
        <v/>
      </c>
      <c r="L79" s="60" t="n">
        <v>190</v>
      </c>
      <c r="M79" s="65">
        <f>K79*L79</f>
        <v/>
      </c>
      <c r="N79" s="66">
        <f>B79*2</f>
        <v/>
      </c>
      <c r="O79" s="65">
        <f>M79+N79</f>
        <v/>
      </c>
      <c r="P79" s="62">
        <f>K79*7.12</f>
        <v/>
      </c>
      <c r="Q79" s="63" t="inlineStr">
        <is>
          <t>Dak</t>
        </is>
      </c>
      <c r="R79" s="59" t="inlineStr">
        <is>
          <t>09-06-2026</t>
        </is>
      </c>
      <c r="S79" s="59" t="inlineStr">
        <is>
          <t>Peter</t>
        </is>
      </c>
      <c r="T79" s="63" t="inlineStr">
        <is>
          <t>/56</t>
        </is>
      </c>
      <c r="U79" s="63" t="inlineStr">
        <is>
          <t>/56</t>
        </is>
      </c>
    </row>
    <row r="80">
      <c r="A80" s="42" t="inlineStr">
        <is>
          <t>Lostock Fabric</t>
        </is>
      </c>
      <c r="B80" s="43" t="n">
        <v>12</v>
      </c>
      <c r="C80" s="55" t="n">
        <v>7</v>
      </c>
      <c r="D80" s="45" t="n">
        <v>2.57</v>
      </c>
      <c r="E80" s="45" t="n">
        <v>0.36</v>
      </c>
      <c r="F80" s="56" t="inlineStr">
        <is>
          <t>G/H</t>
        </is>
      </c>
      <c r="G80" s="56" t="n"/>
      <c r="H80" s="56" t="n"/>
      <c r="I80" s="45">
        <f>D80+0.03</f>
        <v/>
      </c>
      <c r="J80" s="45">
        <f>E80+0.03</f>
        <v/>
      </c>
      <c r="K80" s="44">
        <f>B80*I80*J80</f>
        <v/>
      </c>
      <c r="L80" s="43" t="n">
        <v>190</v>
      </c>
      <c r="M80" s="57">
        <f>K80*L80</f>
        <v/>
      </c>
      <c r="N80" s="58">
        <f>B80*2</f>
        <v/>
      </c>
      <c r="O80" s="57">
        <f>M80+N80</f>
        <v/>
      </c>
      <c r="P80" s="45">
        <f>K80*7.12</f>
        <v/>
      </c>
      <c r="Q80" s="56" t="inlineStr">
        <is>
          <t>Dak</t>
        </is>
      </c>
      <c r="R80" s="42" t="inlineStr">
        <is>
          <t>09-06-2026</t>
        </is>
      </c>
      <c r="S80" s="42" t="inlineStr">
        <is>
          <t>Peter</t>
        </is>
      </c>
      <c r="T80" s="56" t="inlineStr">
        <is>
          <t>N/A</t>
        </is>
      </c>
      <c r="U80" s="56" t="inlineStr">
        <is>
          <t>N/A</t>
        </is>
      </c>
    </row>
    <row r="81">
      <c r="A81" s="59" t="inlineStr">
        <is>
          <t>Lostock Fabric</t>
        </is>
      </c>
      <c r="B81" s="60" t="n">
        <v>12</v>
      </c>
      <c r="C81" s="61" t="n">
        <v>7</v>
      </c>
      <c r="D81" s="62" t="n">
        <v>0.82</v>
      </c>
      <c r="E81" s="62" t="n">
        <v>0.82</v>
      </c>
      <c r="F81" s="63" t="inlineStr">
        <is>
          <t>G/H</t>
        </is>
      </c>
      <c r="G81" s="63" t="n"/>
      <c r="H81" s="63" t="n"/>
      <c r="I81" s="62">
        <f>D81+0.03</f>
        <v/>
      </c>
      <c r="J81" s="62">
        <f>E81+0.03</f>
        <v/>
      </c>
      <c r="K81" s="64">
        <f>B81*I81*J81</f>
        <v/>
      </c>
      <c r="L81" s="60" t="n">
        <v>190</v>
      </c>
      <c r="M81" s="65">
        <f>K81*L81</f>
        <v/>
      </c>
      <c r="N81" s="66">
        <f>B81*2</f>
        <v/>
      </c>
      <c r="O81" s="65">
        <f>M81+N81</f>
        <v/>
      </c>
      <c r="P81" s="62">
        <f>K81*7.12</f>
        <v/>
      </c>
      <c r="Q81" s="63" t="inlineStr">
        <is>
          <t>Dak</t>
        </is>
      </c>
      <c r="R81" s="59" t="inlineStr">
        <is>
          <t>09-06-2026</t>
        </is>
      </c>
      <c r="S81" s="59" t="inlineStr">
        <is>
          <t>Peter</t>
        </is>
      </c>
      <c r="T81" s="63" t="inlineStr">
        <is>
          <t>N/A</t>
        </is>
      </c>
      <c r="U81" s="63" t="inlineStr">
        <is>
          <t>N/A</t>
        </is>
      </c>
    </row>
    <row r="82">
      <c r="A82" s="42" t="inlineStr">
        <is>
          <t>Lostock Fabric</t>
        </is>
      </c>
      <c r="B82" s="43" t="n">
        <v>12</v>
      </c>
      <c r="C82" s="55" t="n">
        <v>8</v>
      </c>
      <c r="D82" s="45" t="n">
        <v>2.91</v>
      </c>
      <c r="E82" s="45" t="n">
        <v>0.58</v>
      </c>
      <c r="F82" s="56" t="inlineStr">
        <is>
          <t>G</t>
        </is>
      </c>
      <c r="G82" s="56" t="n"/>
      <c r="H82" s="56" t="n"/>
      <c r="I82" s="45">
        <f>D82+0.03</f>
        <v/>
      </c>
      <c r="J82" s="45">
        <f>E82+0.03</f>
        <v/>
      </c>
      <c r="K82" s="44">
        <f>B82*I82*J82</f>
        <v/>
      </c>
      <c r="L82" s="43" t="n">
        <v>190</v>
      </c>
      <c r="M82" s="57">
        <f>K82*L82</f>
        <v/>
      </c>
      <c r="N82" s="58">
        <f>B82*2</f>
        <v/>
      </c>
      <c r="O82" s="57">
        <f>M82+N82</f>
        <v/>
      </c>
      <c r="P82" s="45">
        <f>K82*7.12</f>
        <v/>
      </c>
      <c r="Q82" s="56" t="inlineStr">
        <is>
          <t>Dak</t>
        </is>
      </c>
      <c r="R82" s="42" t="inlineStr">
        <is>
          <t>09-06-2026</t>
        </is>
      </c>
      <c r="S82" s="42" t="inlineStr">
        <is>
          <t>Peter</t>
        </is>
      </c>
      <c r="T82" s="56" t="inlineStr">
        <is>
          <t>N/A</t>
        </is>
      </c>
      <c r="U82" s="56" t="inlineStr">
        <is>
          <t>N/A</t>
        </is>
      </c>
    </row>
    <row r="83">
      <c r="A83" s="59" t="inlineStr">
        <is>
          <t>Lostock Fabric</t>
        </is>
      </c>
      <c r="B83" s="60" t="n">
        <v>16</v>
      </c>
      <c r="C83" s="61" t="n">
        <v>9</v>
      </c>
      <c r="D83" s="62" t="n">
        <v>0.75</v>
      </c>
      <c r="E83" s="62" t="n">
        <v>0.28</v>
      </c>
      <c r="F83" s="63" t="inlineStr">
        <is>
          <t>G</t>
        </is>
      </c>
      <c r="G83" s="63" t="n"/>
      <c r="H83" s="63" t="n"/>
      <c r="I83" s="62">
        <f>D83+0.03</f>
        <v/>
      </c>
      <c r="J83" s="62">
        <f>E83+0.03</f>
        <v/>
      </c>
      <c r="K83" s="64">
        <f>B83*I83*J83</f>
        <v/>
      </c>
      <c r="L83" s="60" t="n">
        <v>190</v>
      </c>
      <c r="M83" s="65">
        <f>K83*L83</f>
        <v/>
      </c>
      <c r="N83" s="66">
        <f>B83*2</f>
        <v/>
      </c>
      <c r="O83" s="65">
        <f>M83+N83</f>
        <v/>
      </c>
      <c r="P83" s="62">
        <f>K83*7.12</f>
        <v/>
      </c>
      <c r="Q83" s="63" t="inlineStr">
        <is>
          <t>Dak</t>
        </is>
      </c>
      <c r="R83" s="59" t="inlineStr">
        <is>
          <t>09-06-2026</t>
        </is>
      </c>
      <c r="S83" s="59" t="inlineStr">
        <is>
          <t>Peter</t>
        </is>
      </c>
      <c r="T83" s="63" t="inlineStr">
        <is>
          <t>N/A</t>
        </is>
      </c>
      <c r="U83" s="63" t="inlineStr">
        <is>
          <t>N/A</t>
        </is>
      </c>
    </row>
    <row r="84">
      <c r="A84" s="42" t="inlineStr">
        <is>
          <t>Lostock Fabric</t>
        </is>
      </c>
      <c r="B84" s="43" t="n">
        <v>16</v>
      </c>
      <c r="C84" s="55" t="n">
        <v>10</v>
      </c>
      <c r="D84" s="45" t="n">
        <v>1.05</v>
      </c>
      <c r="E84" s="45" t="n">
        <v>0.28</v>
      </c>
      <c r="F84" s="56" t="inlineStr">
        <is>
          <t>G/H</t>
        </is>
      </c>
      <c r="G84" s="56" t="n"/>
      <c r="H84" s="56" t="n"/>
      <c r="I84" s="45">
        <f>D84+0.03</f>
        <v/>
      </c>
      <c r="J84" s="45">
        <f>E84+0.03</f>
        <v/>
      </c>
      <c r="K84" s="44">
        <f>B84*I84*J84</f>
        <v/>
      </c>
      <c r="L84" s="43" t="n">
        <v>190</v>
      </c>
      <c r="M84" s="57">
        <f>K84*L84</f>
        <v/>
      </c>
      <c r="N84" s="58">
        <f>B84*2</f>
        <v/>
      </c>
      <c r="O84" s="57">
        <f>M84+N84</f>
        <v/>
      </c>
      <c r="P84" s="45">
        <f>K84*7.12</f>
        <v/>
      </c>
      <c r="Q84" s="56" t="inlineStr">
        <is>
          <t>Dak</t>
        </is>
      </c>
      <c r="R84" s="42" t="inlineStr">
        <is>
          <t>09-06-2026</t>
        </is>
      </c>
      <c r="S84" s="42" t="inlineStr">
        <is>
          <t>Peter</t>
        </is>
      </c>
      <c r="T84" s="56" t="inlineStr">
        <is>
          <t>N/A</t>
        </is>
      </c>
      <c r="U84" s="56" t="inlineStr">
        <is>
          <t>N/A</t>
        </is>
      </c>
    </row>
    <row r="85">
      <c r="A85" s="59" t="inlineStr">
        <is>
          <t>Lostock Fabric</t>
        </is>
      </c>
      <c r="B85" s="60" t="n">
        <v>16</v>
      </c>
      <c r="C85" s="61" t="n">
        <v>10</v>
      </c>
      <c r="D85" s="62" t="n">
        <v>0.33</v>
      </c>
      <c r="E85" s="62" t="n">
        <v>0.33</v>
      </c>
      <c r="F85" s="63" t="inlineStr">
        <is>
          <t>G/H</t>
        </is>
      </c>
      <c r="G85" s="63" t="n"/>
      <c r="H85" s="63" t="n"/>
      <c r="I85" s="62">
        <f>D85+0.03</f>
        <v/>
      </c>
      <c r="J85" s="62">
        <f>E85+0.03</f>
        <v/>
      </c>
      <c r="K85" s="64">
        <f>B85*I85*J85</f>
        <v/>
      </c>
      <c r="L85" s="60" t="n">
        <v>190</v>
      </c>
      <c r="M85" s="65">
        <f>K85*L85</f>
        <v/>
      </c>
      <c r="N85" s="66">
        <f>B85*2</f>
        <v/>
      </c>
      <c r="O85" s="65">
        <f>M85+N85</f>
        <v/>
      </c>
      <c r="P85" s="62">
        <f>K85*7.12</f>
        <v/>
      </c>
      <c r="Q85" s="63" t="inlineStr">
        <is>
          <t>Dak</t>
        </is>
      </c>
      <c r="R85" s="59" t="inlineStr">
        <is>
          <t>09-06-2026</t>
        </is>
      </c>
      <c r="S85" s="59" t="inlineStr">
        <is>
          <t>Peter</t>
        </is>
      </c>
      <c r="T85" s="63" t="inlineStr">
        <is>
          <t>N/A</t>
        </is>
      </c>
      <c r="U85" s="63" t="inlineStr">
        <is>
          <t>N/A</t>
        </is>
      </c>
    </row>
    <row r="86">
      <c r="A86" s="42" t="inlineStr">
        <is>
          <t>Lostock Fabric</t>
        </is>
      </c>
      <c r="B86" s="43" t="n">
        <v>16</v>
      </c>
      <c r="C86" s="55" t="n">
        <v>11</v>
      </c>
      <c r="D86" s="45" t="n">
        <v>1.08</v>
      </c>
      <c r="E86" s="45" t="n">
        <v>0.28</v>
      </c>
      <c r="F86" s="56" t="inlineStr">
        <is>
          <t>G/H</t>
        </is>
      </c>
      <c r="G86" s="56" t="n"/>
      <c r="H86" s="56" t="n"/>
      <c r="I86" s="45">
        <f>D86+0.03</f>
        <v/>
      </c>
      <c r="J86" s="45">
        <f>E86+0.03</f>
        <v/>
      </c>
      <c r="K86" s="44">
        <f>B86*I86*J86</f>
        <v/>
      </c>
      <c r="L86" s="43" t="n">
        <v>190</v>
      </c>
      <c r="M86" s="57">
        <f>K86*L86</f>
        <v/>
      </c>
      <c r="N86" s="58">
        <f>B86*2</f>
        <v/>
      </c>
      <c r="O86" s="57">
        <f>M86+N86</f>
        <v/>
      </c>
      <c r="P86" s="45">
        <f>K86*7.12</f>
        <v/>
      </c>
      <c r="Q86" s="56" t="inlineStr">
        <is>
          <t>Dak</t>
        </is>
      </c>
      <c r="R86" s="42" t="inlineStr">
        <is>
          <t>09-06-2026</t>
        </is>
      </c>
      <c r="S86" s="42" t="inlineStr">
        <is>
          <t>Peter</t>
        </is>
      </c>
      <c r="T86" s="56" t="inlineStr">
        <is>
          <t>N/A</t>
        </is>
      </c>
      <c r="U86" s="56" t="inlineStr">
        <is>
          <t>N/A</t>
        </is>
      </c>
    </row>
    <row r="87">
      <c r="A87" s="59" t="inlineStr">
        <is>
          <t>Lostock Fabric</t>
        </is>
      </c>
      <c r="B87" s="60" t="n">
        <v>16</v>
      </c>
      <c r="C87" s="61" t="n">
        <v>11</v>
      </c>
      <c r="D87" s="62" t="n">
        <v>0.34</v>
      </c>
      <c r="E87" s="62" t="n">
        <v>0.34</v>
      </c>
      <c r="F87" s="63" t="inlineStr">
        <is>
          <t>G/H</t>
        </is>
      </c>
      <c r="G87" s="63" t="n"/>
      <c r="H87" s="63" t="n"/>
      <c r="I87" s="62">
        <f>D87+0.03</f>
        <v/>
      </c>
      <c r="J87" s="62">
        <f>E87+0.03</f>
        <v/>
      </c>
      <c r="K87" s="64">
        <f>B87*I87*J87</f>
        <v/>
      </c>
      <c r="L87" s="60" t="n">
        <v>190</v>
      </c>
      <c r="M87" s="65">
        <f>K87*L87</f>
        <v/>
      </c>
      <c r="N87" s="66">
        <f>B87*2</f>
        <v/>
      </c>
      <c r="O87" s="65">
        <f>M87+N87</f>
        <v/>
      </c>
      <c r="P87" s="62">
        <f>K87*7.12</f>
        <v/>
      </c>
      <c r="Q87" s="63" t="inlineStr">
        <is>
          <t>Dak</t>
        </is>
      </c>
      <c r="R87" s="59" t="inlineStr">
        <is>
          <t>09-06-2026</t>
        </is>
      </c>
      <c r="S87" s="59" t="inlineStr">
        <is>
          <t>Peter</t>
        </is>
      </c>
      <c r="T87" s="63" t="inlineStr">
        <is>
          <t>N/A</t>
        </is>
      </c>
      <c r="U87" s="63" t="inlineStr">
        <is>
          <t>N/A</t>
        </is>
      </c>
    </row>
    <row r="88">
      <c r="A88" s="42" t="inlineStr">
        <is>
          <t>Lostock Fabric</t>
        </is>
      </c>
      <c r="B88" s="43" t="n">
        <v>16</v>
      </c>
      <c r="C88" s="55" t="n">
        <v>12</v>
      </c>
      <c r="D88" s="45" t="n">
        <v>2.83</v>
      </c>
      <c r="E88" s="45" t="n">
        <v>0.5600000000000001</v>
      </c>
      <c r="F88" s="56" t="inlineStr">
        <is>
          <t>G/H</t>
        </is>
      </c>
      <c r="G88" s="56" t="n"/>
      <c r="H88" s="56" t="n"/>
      <c r="I88" s="45">
        <f>D88+0.03</f>
        <v/>
      </c>
      <c r="J88" s="45">
        <f>E88+0.03</f>
        <v/>
      </c>
      <c r="K88" s="44">
        <f>B88*I88*J88</f>
        <v/>
      </c>
      <c r="L88" s="43" t="n">
        <v>190</v>
      </c>
      <c r="M88" s="57">
        <f>K88*L88</f>
        <v/>
      </c>
      <c r="N88" s="58">
        <f>B88*2</f>
        <v/>
      </c>
      <c r="O88" s="57">
        <f>M88+N88</f>
        <v/>
      </c>
      <c r="P88" s="45">
        <f>K88*7.12</f>
        <v/>
      </c>
      <c r="Q88" s="56" t="inlineStr">
        <is>
          <t>Dak</t>
        </is>
      </c>
      <c r="R88" s="42" t="inlineStr">
        <is>
          <t>09-06-2026</t>
        </is>
      </c>
      <c r="S88" s="42" t="inlineStr">
        <is>
          <t>Peter</t>
        </is>
      </c>
      <c r="T88" s="56" t="inlineStr">
        <is>
          <t>N/A</t>
        </is>
      </c>
      <c r="U88" s="56" t="inlineStr">
        <is>
          <t>N/A</t>
        </is>
      </c>
    </row>
    <row r="89">
      <c r="A89" s="59" t="inlineStr">
        <is>
          <t>Lostock Fabric</t>
        </is>
      </c>
      <c r="B89" s="60" t="n">
        <v>16</v>
      </c>
      <c r="C89" s="61" t="n">
        <v>12</v>
      </c>
      <c r="D89" s="62" t="n">
        <v>0.9</v>
      </c>
      <c r="E89" s="62" t="n">
        <v>0.9</v>
      </c>
      <c r="F89" s="63" t="inlineStr">
        <is>
          <t>G/H</t>
        </is>
      </c>
      <c r="G89" s="63" t="n"/>
      <c r="H89" s="63" t="n"/>
      <c r="I89" s="62">
        <f>D89+0.03</f>
        <v/>
      </c>
      <c r="J89" s="62">
        <f>E89+0.03</f>
        <v/>
      </c>
      <c r="K89" s="64">
        <f>B89*I89*J89</f>
        <v/>
      </c>
      <c r="L89" s="60" t="n">
        <v>190</v>
      </c>
      <c r="M89" s="65">
        <f>K89*L89</f>
        <v/>
      </c>
      <c r="N89" s="66">
        <f>B89*2</f>
        <v/>
      </c>
      <c r="O89" s="65">
        <f>M89+N89</f>
        <v/>
      </c>
      <c r="P89" s="62">
        <f>K89*7.12</f>
        <v/>
      </c>
      <c r="Q89" s="63" t="inlineStr">
        <is>
          <t>Dak</t>
        </is>
      </c>
      <c r="R89" s="59" t="inlineStr">
        <is>
          <t>09-06-2026</t>
        </is>
      </c>
      <c r="S89" s="59" t="inlineStr">
        <is>
          <t>Peter</t>
        </is>
      </c>
      <c r="T89" s="63" t="inlineStr">
        <is>
          <t>N/A</t>
        </is>
      </c>
      <c r="U89" s="63" t="inlineStr">
        <is>
          <t>N/A</t>
        </is>
      </c>
    </row>
    <row r="90">
      <c r="A90" s="42" t="inlineStr">
        <is>
          <t>Lostock Fabric</t>
        </is>
      </c>
      <c r="B90" s="43" t="n">
        <v>24</v>
      </c>
      <c r="C90" s="55" t="n">
        <v>13</v>
      </c>
      <c r="D90" s="45" t="n">
        <v>2.49</v>
      </c>
      <c r="E90" s="45" t="n">
        <v>0.52</v>
      </c>
      <c r="F90" s="56" t="inlineStr">
        <is>
          <t>G</t>
        </is>
      </c>
      <c r="G90" s="56" t="n"/>
      <c r="H90" s="56" t="n"/>
      <c r="I90" s="45">
        <f>D90+0.03</f>
        <v/>
      </c>
      <c r="J90" s="45">
        <f>E90+0.03</f>
        <v/>
      </c>
      <c r="K90" s="44">
        <f>B90*I90*J90</f>
        <v/>
      </c>
      <c r="L90" s="43" t="n">
        <v>190</v>
      </c>
      <c r="M90" s="57">
        <f>K90*L90</f>
        <v/>
      </c>
      <c r="N90" s="58">
        <f>B90*2</f>
        <v/>
      </c>
      <c r="O90" s="57">
        <f>M90+N90</f>
        <v/>
      </c>
      <c r="P90" s="45">
        <f>K90*7.12</f>
        <v/>
      </c>
      <c r="Q90" s="56" t="inlineStr">
        <is>
          <t>Dak</t>
        </is>
      </c>
      <c r="R90" s="42" t="inlineStr">
        <is>
          <t>09-06-2026</t>
        </is>
      </c>
      <c r="S90" s="42" t="inlineStr">
        <is>
          <t>Peter</t>
        </is>
      </c>
      <c r="T90" s="56" t="inlineStr">
        <is>
          <t>/56</t>
        </is>
      </c>
      <c r="U90" s="56" t="inlineStr">
        <is>
          <t>/56</t>
        </is>
      </c>
    </row>
    <row r="91">
      <c r="A91" s="59" t="inlineStr">
        <is>
          <t>Lostock Fabric</t>
        </is>
      </c>
      <c r="B91" s="60" t="n">
        <v>8</v>
      </c>
      <c r="C91" s="61" t="n">
        <v>14</v>
      </c>
      <c r="D91" s="62" t="n">
        <v>2.83</v>
      </c>
      <c r="E91" s="62" t="n">
        <v>0.52</v>
      </c>
      <c r="F91" s="63" t="inlineStr">
        <is>
          <t>G/H</t>
        </is>
      </c>
      <c r="G91" s="63" t="n"/>
      <c r="H91" s="63" t="n"/>
      <c r="I91" s="62">
        <f>D91+0.03</f>
        <v/>
      </c>
      <c r="J91" s="62">
        <f>E91+0.03</f>
        <v/>
      </c>
      <c r="K91" s="64">
        <f>B91*I91*J91</f>
        <v/>
      </c>
      <c r="L91" s="60" t="n">
        <v>190</v>
      </c>
      <c r="M91" s="65">
        <f>K91*L91</f>
        <v/>
      </c>
      <c r="N91" s="66">
        <f>B91*2</f>
        <v/>
      </c>
      <c r="O91" s="65">
        <f>M91+N91</f>
        <v/>
      </c>
      <c r="P91" s="62">
        <f>K91*7.12</f>
        <v/>
      </c>
      <c r="Q91" s="63" t="inlineStr">
        <is>
          <t>Dak</t>
        </is>
      </c>
      <c r="R91" s="59" t="inlineStr">
        <is>
          <t>09-06-2026</t>
        </is>
      </c>
      <c r="S91" s="59" t="inlineStr">
        <is>
          <t>Peter</t>
        </is>
      </c>
      <c r="T91" s="63" t="inlineStr">
        <is>
          <t>N/A</t>
        </is>
      </c>
      <c r="U91" s="63" t="inlineStr">
        <is>
          <t>N/A</t>
        </is>
      </c>
    </row>
    <row r="92">
      <c r="A92" s="42" t="inlineStr">
        <is>
          <t>Lostock Fabric</t>
        </is>
      </c>
      <c r="B92" s="43" t="n">
        <v>8</v>
      </c>
      <c r="C92" s="55" t="n">
        <v>14</v>
      </c>
      <c r="D92" s="45" t="n">
        <v>0.9</v>
      </c>
      <c r="E92" s="45" t="n">
        <v>0.9</v>
      </c>
      <c r="F92" s="56" t="inlineStr">
        <is>
          <t>G/H</t>
        </is>
      </c>
      <c r="G92" s="56" t="n"/>
      <c r="H92" s="56" t="n"/>
      <c r="I92" s="45">
        <f>D92+0.03</f>
        <v/>
      </c>
      <c r="J92" s="45">
        <f>E92+0.03</f>
        <v/>
      </c>
      <c r="K92" s="44">
        <f>B92*I92*J92</f>
        <v/>
      </c>
      <c r="L92" s="43" t="n">
        <v>190</v>
      </c>
      <c r="M92" s="57">
        <f>K92*L92</f>
        <v/>
      </c>
      <c r="N92" s="58">
        <f>B92*2</f>
        <v/>
      </c>
      <c r="O92" s="57">
        <f>M92+N92</f>
        <v/>
      </c>
      <c r="P92" s="45">
        <f>K92*7.12</f>
        <v/>
      </c>
      <c r="Q92" s="56" t="inlineStr">
        <is>
          <t>Dak</t>
        </is>
      </c>
      <c r="R92" s="42" t="inlineStr">
        <is>
          <t>09-06-2026</t>
        </is>
      </c>
      <c r="S92" s="42" t="inlineStr">
        <is>
          <t>Peter</t>
        </is>
      </c>
      <c r="T92" s="56" t="inlineStr">
        <is>
          <t>N/A</t>
        </is>
      </c>
      <c r="U92" s="56" t="inlineStr">
        <is>
          <t>N/A</t>
        </is>
      </c>
    </row>
    <row r="93">
      <c r="A93" s="59" t="inlineStr">
        <is>
          <t>Lostock Fabric</t>
        </is>
      </c>
      <c r="B93" s="60" t="n">
        <v>8</v>
      </c>
      <c r="C93" s="61" t="n">
        <v>15</v>
      </c>
      <c r="D93" s="62" t="n">
        <v>0.77</v>
      </c>
      <c r="E93" s="62" t="n">
        <v>0.89</v>
      </c>
      <c r="F93" s="63" t="inlineStr">
        <is>
          <t>H</t>
        </is>
      </c>
      <c r="G93" s="63" t="n"/>
      <c r="H93" s="63" t="n"/>
      <c r="I93" s="62">
        <f>D93+0.03</f>
        <v/>
      </c>
      <c r="J93" s="62">
        <f>E93+0.03</f>
        <v/>
      </c>
      <c r="K93" s="64">
        <f>B93*I93*J93</f>
        <v/>
      </c>
      <c r="L93" s="60" t="n">
        <v>190</v>
      </c>
      <c r="M93" s="65">
        <f>K93*L93</f>
        <v/>
      </c>
      <c r="N93" s="66">
        <f>B93*2</f>
        <v/>
      </c>
      <c r="O93" s="65">
        <f>M93+N93</f>
        <v/>
      </c>
      <c r="P93" s="62">
        <f>K93*7.12</f>
        <v/>
      </c>
      <c r="Q93" s="63" t="inlineStr">
        <is>
          <t>Dak</t>
        </is>
      </c>
      <c r="R93" s="59" t="inlineStr">
        <is>
          <t>09-06-2026</t>
        </is>
      </c>
      <c r="S93" s="59" t="inlineStr">
        <is>
          <t>Peter</t>
        </is>
      </c>
      <c r="T93" s="63" t="inlineStr">
        <is>
          <t>log</t>
        </is>
      </c>
      <c r="U93" s="63" t="inlineStr">
        <is>
          <t>N/A</t>
        </is>
      </c>
    </row>
    <row r="94">
      <c r="A94" s="42" t="inlineStr">
        <is>
          <t>Lostock Fabric</t>
        </is>
      </c>
      <c r="B94" s="43" t="n">
        <v>4</v>
      </c>
      <c r="C94" s="55" t="n">
        <v>16</v>
      </c>
      <c r="D94" s="45" t="n">
        <v>0.33</v>
      </c>
      <c r="E94" s="45" t="n">
        <v>0.33</v>
      </c>
      <c r="F94" s="56" t="inlineStr">
        <is>
          <t>H</t>
        </is>
      </c>
      <c r="G94" s="56" t="n"/>
      <c r="H94" s="56" t="n"/>
      <c r="I94" s="45">
        <f>D94+0.03</f>
        <v/>
      </c>
      <c r="J94" s="45">
        <f>E94+0.03</f>
        <v/>
      </c>
      <c r="K94" s="44">
        <f>B94*I94*J94</f>
        <v/>
      </c>
      <c r="L94" s="43" t="n">
        <v>190</v>
      </c>
      <c r="M94" s="57">
        <f>K94*L94</f>
        <v/>
      </c>
      <c r="N94" s="58">
        <f>B94*2</f>
        <v/>
      </c>
      <c r="O94" s="57">
        <f>M94+N94</f>
        <v/>
      </c>
      <c r="P94" s="45">
        <f>K94*7.12</f>
        <v/>
      </c>
      <c r="Q94" s="56" t="inlineStr">
        <is>
          <t>Dak</t>
        </is>
      </c>
      <c r="R94" s="42" t="inlineStr">
        <is>
          <t>09-06-2026</t>
        </is>
      </c>
      <c r="S94" s="42" t="inlineStr">
        <is>
          <t>Peter</t>
        </is>
      </c>
      <c r="T94" s="56" t="inlineStr">
        <is>
          <t>/56</t>
        </is>
      </c>
      <c r="U94" s="56" t="inlineStr">
        <is>
          <t>/56</t>
        </is>
      </c>
    </row>
    <row r="95">
      <c r="A95" s="59" t="inlineStr">
        <is>
          <t>Lostock Fabric</t>
        </is>
      </c>
      <c r="B95" s="60" t="n">
        <v>8</v>
      </c>
      <c r="C95" s="61" t="n">
        <v>17</v>
      </c>
      <c r="D95" s="62" t="n">
        <v>0.35</v>
      </c>
      <c r="E95" s="62" t="n">
        <v>0.4</v>
      </c>
      <c r="F95" s="63" t="inlineStr">
        <is>
          <t>H</t>
        </is>
      </c>
      <c r="G95" s="63" t="n"/>
      <c r="H95" s="63" t="n"/>
      <c r="I95" s="62">
        <f>D95+0.03</f>
        <v/>
      </c>
      <c r="J95" s="62">
        <f>E95+0.03</f>
        <v/>
      </c>
      <c r="K95" s="64">
        <f>B95*I95*J95</f>
        <v/>
      </c>
      <c r="L95" s="60" t="n">
        <v>190</v>
      </c>
      <c r="M95" s="65">
        <f>K95*L95</f>
        <v/>
      </c>
      <c r="N95" s="66">
        <f>B95*2</f>
        <v/>
      </c>
      <c r="O95" s="65">
        <f>M95+N95</f>
        <v/>
      </c>
      <c r="P95" s="62">
        <f>K95*7.12</f>
        <v/>
      </c>
      <c r="Q95" s="63" t="inlineStr">
        <is>
          <t>Dak</t>
        </is>
      </c>
      <c r="R95" s="59" t="inlineStr">
        <is>
          <t>09-06-2026</t>
        </is>
      </c>
      <c r="S95" s="59" t="inlineStr">
        <is>
          <t>Peter</t>
        </is>
      </c>
      <c r="T95" s="63" t="inlineStr">
        <is>
          <t>N/A</t>
        </is>
      </c>
      <c r="U95" s="63" t="inlineStr">
        <is>
          <t>N/A</t>
        </is>
      </c>
    </row>
    <row r="96">
      <c r="A96" s="42" t="inlineStr">
        <is>
          <t>Lostock Fabric</t>
        </is>
      </c>
      <c r="B96" s="43" t="n">
        <v>3</v>
      </c>
      <c r="C96" s="55" t="n">
        <v>18</v>
      </c>
      <c r="D96" s="45" t="n">
        <v>1.08</v>
      </c>
      <c r="E96" s="45" t="n">
        <v>0.25</v>
      </c>
      <c r="F96" s="56" t="inlineStr">
        <is>
          <t>G/H</t>
        </is>
      </c>
      <c r="G96" s="56" t="n"/>
      <c r="H96" s="56" t="n"/>
      <c r="I96" s="45">
        <f>D96+0.03</f>
        <v/>
      </c>
      <c r="J96" s="45">
        <f>E96+0.03</f>
        <v/>
      </c>
      <c r="K96" s="44">
        <f>B96*I96*J96</f>
        <v/>
      </c>
      <c r="L96" s="43" t="n">
        <v>190</v>
      </c>
      <c r="M96" s="57">
        <f>K96*L96</f>
        <v/>
      </c>
      <c r="N96" s="58">
        <f>B96*2</f>
        <v/>
      </c>
      <c r="O96" s="57">
        <f>M96+N96</f>
        <v/>
      </c>
      <c r="P96" s="45">
        <f>K96*7.12</f>
        <v/>
      </c>
      <c r="Q96" s="56" t="inlineStr">
        <is>
          <t>Ground Floor</t>
        </is>
      </c>
      <c r="R96" s="42" t="inlineStr">
        <is>
          <t>09-06-2026</t>
        </is>
      </c>
      <c r="S96" s="42" t="inlineStr">
        <is>
          <t>Peter</t>
        </is>
      </c>
      <c r="T96" s="56" t="inlineStr">
        <is>
          <t>YS</t>
        </is>
      </c>
      <c r="U96" s="56" t="inlineStr">
        <is>
          <t>N/A</t>
        </is>
      </c>
    </row>
    <row r="97">
      <c r="A97" s="59" t="inlineStr">
        <is>
          <t>Lostock Fabric</t>
        </is>
      </c>
      <c r="B97" s="60" t="n">
        <v>3</v>
      </c>
      <c r="C97" s="61" t="n">
        <v>18</v>
      </c>
      <c r="D97" s="62" t="n">
        <v>0.34</v>
      </c>
      <c r="E97" s="62" t="n">
        <v>0.34</v>
      </c>
      <c r="F97" s="63" t="inlineStr">
        <is>
          <t>G/H</t>
        </is>
      </c>
      <c r="G97" s="63" t="n"/>
      <c r="H97" s="63" t="n"/>
      <c r="I97" s="62">
        <f>D97+0.03</f>
        <v/>
      </c>
      <c r="J97" s="62">
        <f>E97+0.03</f>
        <v/>
      </c>
      <c r="K97" s="64">
        <f>B97*I97*J97</f>
        <v/>
      </c>
      <c r="L97" s="60" t="n">
        <v>190</v>
      </c>
      <c r="M97" s="65">
        <f>K97*L97</f>
        <v/>
      </c>
      <c r="N97" s="66">
        <f>B97*2</f>
        <v/>
      </c>
      <c r="O97" s="65">
        <f>M97+N97</f>
        <v/>
      </c>
      <c r="P97" s="62">
        <f>K97*7.12</f>
        <v/>
      </c>
      <c r="Q97" s="63" t="inlineStr">
        <is>
          <t>Ground Floor</t>
        </is>
      </c>
      <c r="R97" s="59" t="inlineStr">
        <is>
          <t>09-06-2026</t>
        </is>
      </c>
      <c r="S97" s="59" t="inlineStr">
        <is>
          <t>Peter</t>
        </is>
      </c>
      <c r="T97" s="63" t="inlineStr">
        <is>
          <t>YS</t>
        </is>
      </c>
      <c r="U97" s="63" t="inlineStr">
        <is>
          <t>N/A</t>
        </is>
      </c>
    </row>
    <row r="98">
      <c r="A98" s="42" t="inlineStr">
        <is>
          <t>Lostock Fabric</t>
        </is>
      </c>
      <c r="B98" s="43" t="n">
        <v>3</v>
      </c>
      <c r="C98" s="55" t="n">
        <v>19</v>
      </c>
      <c r="D98" s="45" t="n">
        <v>0.66</v>
      </c>
      <c r="E98" s="45" t="n">
        <v>0.14</v>
      </c>
      <c r="F98" s="56" t="inlineStr">
        <is>
          <t>H</t>
        </is>
      </c>
      <c r="G98" s="56" t="n"/>
      <c r="H98" s="56" t="n"/>
      <c r="I98" s="45">
        <f>D98+0.03</f>
        <v/>
      </c>
      <c r="J98" s="45">
        <f>E98+0.03</f>
        <v/>
      </c>
      <c r="K98" s="44">
        <f>B98*I98*J98</f>
        <v/>
      </c>
      <c r="L98" s="43" t="n">
        <v>190</v>
      </c>
      <c r="M98" s="57">
        <f>K98*L98</f>
        <v/>
      </c>
      <c r="N98" s="58">
        <f>B98*2</f>
        <v/>
      </c>
      <c r="O98" s="57">
        <f>M98+N98</f>
        <v/>
      </c>
      <c r="P98" s="45">
        <f>K98*7.12</f>
        <v/>
      </c>
      <c r="Q98" s="56" t="inlineStr">
        <is>
          <t>Dak</t>
        </is>
      </c>
      <c r="R98" s="42" t="inlineStr">
        <is>
          <t>09-06-2026</t>
        </is>
      </c>
      <c r="S98" s="42" t="inlineStr">
        <is>
          <t>Peter</t>
        </is>
      </c>
      <c r="T98" s="56" t="inlineStr">
        <is>
          <t>/0</t>
        </is>
      </c>
      <c r="U98" s="56" t="inlineStr">
        <is>
          <t>N/A</t>
        </is>
      </c>
    </row>
    <row r="99">
      <c r="A99" s="59" t="inlineStr">
        <is>
          <t>Lostock Fabric</t>
        </is>
      </c>
      <c r="B99" s="60" t="n">
        <v>3</v>
      </c>
      <c r="C99" s="61" t="n">
        <v>20</v>
      </c>
      <c r="D99" s="62" t="n">
        <v>1.08</v>
      </c>
      <c r="E99" s="62" t="n">
        <v>0.25</v>
      </c>
      <c r="F99" s="63" t="inlineStr">
        <is>
          <t>G/H</t>
        </is>
      </c>
      <c r="G99" s="63" t="n"/>
      <c r="H99" s="63" t="n"/>
      <c r="I99" s="62">
        <f>D99+0.03</f>
        <v/>
      </c>
      <c r="J99" s="62">
        <f>E99+0.03</f>
        <v/>
      </c>
      <c r="K99" s="64">
        <f>B99*I99*J99</f>
        <v/>
      </c>
      <c r="L99" s="60" t="n">
        <v>190</v>
      </c>
      <c r="M99" s="65">
        <f>K99*L99</f>
        <v/>
      </c>
      <c r="N99" s="66">
        <f>B99*2</f>
        <v/>
      </c>
      <c r="O99" s="65">
        <f>M99+N99</f>
        <v/>
      </c>
      <c r="P99" s="62">
        <f>K99*7.12</f>
        <v/>
      </c>
      <c r="Q99" s="63" t="inlineStr">
        <is>
          <t>Dak</t>
        </is>
      </c>
      <c r="R99" s="59" t="inlineStr">
        <is>
          <t>09-06-2026</t>
        </is>
      </c>
      <c r="S99" s="59" t="inlineStr">
        <is>
          <t>Peter</t>
        </is>
      </c>
      <c r="T99" s="63" t="inlineStr">
        <is>
          <t>/0</t>
        </is>
      </c>
      <c r="U99" s="63" t="inlineStr">
        <is>
          <t>N/A</t>
        </is>
      </c>
    </row>
    <row r="100">
      <c r="A100" s="42" t="inlineStr">
        <is>
          <t>Lostock Fabric</t>
        </is>
      </c>
      <c r="B100" s="43" t="n">
        <v>3</v>
      </c>
      <c r="C100" s="55" t="n">
        <v>20</v>
      </c>
      <c r="D100" s="45" t="n">
        <v>0.34</v>
      </c>
      <c r="E100" s="45" t="n">
        <v>0.34</v>
      </c>
      <c r="F100" s="56" t="inlineStr">
        <is>
          <t>G/H</t>
        </is>
      </c>
      <c r="G100" s="56" t="n"/>
      <c r="H100" s="56" t="n"/>
      <c r="I100" s="45">
        <f>D100+0.03</f>
        <v/>
      </c>
      <c r="J100" s="45">
        <f>E100+0.03</f>
        <v/>
      </c>
      <c r="K100" s="44">
        <f>B100*I100*J100</f>
        <v/>
      </c>
      <c r="L100" s="43" t="n">
        <v>190</v>
      </c>
      <c r="M100" s="57">
        <f>K100*L100</f>
        <v/>
      </c>
      <c r="N100" s="58">
        <f>B100*2</f>
        <v/>
      </c>
      <c r="O100" s="57">
        <f>M100+N100</f>
        <v/>
      </c>
      <c r="P100" s="45">
        <f>K100*7.12</f>
        <v/>
      </c>
      <c r="Q100" s="56" t="inlineStr">
        <is>
          <t>Dak</t>
        </is>
      </c>
      <c r="R100" s="42" t="inlineStr">
        <is>
          <t>09-06-2026</t>
        </is>
      </c>
      <c r="S100" s="42" t="inlineStr">
        <is>
          <t>Peter</t>
        </is>
      </c>
      <c r="T100" s="56" t="inlineStr">
        <is>
          <t>/0</t>
        </is>
      </c>
      <c r="U100" s="56" t="inlineStr">
        <is>
          <t>N/A</t>
        </is>
      </c>
    </row>
    <row r="101">
      <c r="A101" s="59" t="inlineStr">
        <is>
          <t>Lostock Fabric</t>
        </is>
      </c>
      <c r="B101" s="60" t="n">
        <v>1</v>
      </c>
      <c r="C101" s="61" t="n">
        <v>21</v>
      </c>
      <c r="D101" s="62" t="n">
        <v>0.74</v>
      </c>
      <c r="E101" s="62" t="n">
        <v>0.34</v>
      </c>
      <c r="F101" s="63" t="inlineStr">
        <is>
          <t>G</t>
        </is>
      </c>
      <c r="G101" s="63" t="n"/>
      <c r="H101" s="63" t="n"/>
      <c r="I101" s="62">
        <f>D101+0.03</f>
        <v/>
      </c>
      <c r="J101" s="62">
        <f>E101+0.03</f>
        <v/>
      </c>
      <c r="K101" s="64">
        <f>B101*I101*J101</f>
        <v/>
      </c>
      <c r="L101" s="60" t="n">
        <v>190</v>
      </c>
      <c r="M101" s="65">
        <f>K101*L101</f>
        <v/>
      </c>
      <c r="N101" s="66">
        <f>B101*2</f>
        <v/>
      </c>
      <c r="O101" s="65">
        <f>M101+N101</f>
        <v/>
      </c>
      <c r="P101" s="62">
        <f>K101*7.12</f>
        <v/>
      </c>
      <c r="Q101" s="63" t="inlineStr">
        <is>
          <t>Dak</t>
        </is>
      </c>
      <c r="R101" s="59" t="inlineStr">
        <is>
          <t>09-06-2026</t>
        </is>
      </c>
      <c r="S101" s="59" t="inlineStr">
        <is>
          <t>Peter</t>
        </is>
      </c>
      <c r="T101" s="63" t="inlineStr">
        <is>
          <t>log</t>
        </is>
      </c>
      <c r="U101" s="63" t="inlineStr">
        <is>
          <t>N/A</t>
        </is>
      </c>
    </row>
    <row r="102">
      <c r="A102" s="42" t="inlineStr">
        <is>
          <t>Lostock Fabric</t>
        </is>
      </c>
      <c r="B102" s="43" t="n">
        <v>8</v>
      </c>
      <c r="C102" s="55" t="n">
        <v>22</v>
      </c>
      <c r="D102" s="45" t="n">
        <v>0.88</v>
      </c>
      <c r="E102" s="45" t="n">
        <v>0.2</v>
      </c>
      <c r="F102" s="56" t="inlineStr">
        <is>
          <t>G/H</t>
        </is>
      </c>
      <c r="G102" s="56" t="n"/>
      <c r="H102" s="56" t="n"/>
      <c r="I102" s="45">
        <f>D102+0.03</f>
        <v/>
      </c>
      <c r="J102" s="45">
        <f>E102+0.03</f>
        <v/>
      </c>
      <c r="K102" s="44">
        <f>B102*I102*J102</f>
        <v/>
      </c>
      <c r="L102" s="43" t="n">
        <v>190</v>
      </c>
      <c r="M102" s="57">
        <f>K102*L102</f>
        <v/>
      </c>
      <c r="N102" s="58">
        <f>B102*2</f>
        <v/>
      </c>
      <c r="O102" s="57">
        <f>M102+N102</f>
        <v/>
      </c>
      <c r="P102" s="45">
        <f>K102*7.12</f>
        <v/>
      </c>
      <c r="Q102" s="56" t="inlineStr">
        <is>
          <t>Dak</t>
        </is>
      </c>
      <c r="R102" s="42" t="inlineStr">
        <is>
          <t>09-06-2026</t>
        </is>
      </c>
      <c r="S102" s="42" t="inlineStr">
        <is>
          <t>Peter</t>
        </is>
      </c>
      <c r="T102" s="56" t="inlineStr">
        <is>
          <t>N/A</t>
        </is>
      </c>
      <c r="U102" s="56" t="inlineStr">
        <is>
          <t>N/A</t>
        </is>
      </c>
    </row>
    <row r="103">
      <c r="A103" s="59" t="inlineStr">
        <is>
          <t>Lostock Fabric</t>
        </is>
      </c>
      <c r="B103" s="60" t="n">
        <v>8</v>
      </c>
      <c r="C103" s="61" t="n">
        <v>22</v>
      </c>
      <c r="D103" s="62" t="n">
        <v>0.28</v>
      </c>
      <c r="E103" s="62" t="n">
        <v>0.28</v>
      </c>
      <c r="F103" s="63" t="inlineStr">
        <is>
          <t>G/H</t>
        </is>
      </c>
      <c r="G103" s="63" t="n"/>
      <c r="H103" s="63" t="n"/>
      <c r="I103" s="62">
        <f>D103+0.03</f>
        <v/>
      </c>
      <c r="J103" s="62">
        <f>E103+0.03</f>
        <v/>
      </c>
      <c r="K103" s="64">
        <f>B103*I103*J103</f>
        <v/>
      </c>
      <c r="L103" s="60" t="n">
        <v>190</v>
      </c>
      <c r="M103" s="65">
        <f>K103*L103</f>
        <v/>
      </c>
      <c r="N103" s="66">
        <f>B103*2</f>
        <v/>
      </c>
      <c r="O103" s="65">
        <f>M103+N103</f>
        <v/>
      </c>
      <c r="P103" s="62">
        <f>K103*7.12</f>
        <v/>
      </c>
      <c r="Q103" s="63" t="inlineStr">
        <is>
          <t>Dak</t>
        </is>
      </c>
      <c r="R103" s="59" t="inlineStr">
        <is>
          <t>09-06-2026</t>
        </is>
      </c>
      <c r="S103" s="59" t="inlineStr">
        <is>
          <t>Peter</t>
        </is>
      </c>
      <c r="T103" s="63" t="inlineStr">
        <is>
          <t>N/A</t>
        </is>
      </c>
      <c r="U103" s="63" t="inlineStr">
        <is>
          <t>N/A</t>
        </is>
      </c>
    </row>
    <row r="104">
      <c r="A104" s="42" t="inlineStr">
        <is>
          <t>Lostock Fabric</t>
        </is>
      </c>
      <c r="B104" s="43" t="n">
        <v>5</v>
      </c>
      <c r="C104" s="55" t="n">
        <v>23</v>
      </c>
      <c r="D104" s="45" t="n">
        <v>0.75</v>
      </c>
      <c r="E104" s="45" t="n">
        <v>0.3</v>
      </c>
      <c r="F104" s="56" t="inlineStr">
        <is>
          <t>G</t>
        </is>
      </c>
      <c r="G104" s="56" t="n"/>
      <c r="H104" s="56" t="n"/>
      <c r="I104" s="45">
        <f>D104+0.03</f>
        <v/>
      </c>
      <c r="J104" s="45">
        <f>E104+0.03</f>
        <v/>
      </c>
      <c r="K104" s="44">
        <f>B104*I104*J104</f>
        <v/>
      </c>
      <c r="L104" s="43" t="n">
        <v>190</v>
      </c>
      <c r="M104" s="57">
        <f>K104*L104</f>
        <v/>
      </c>
      <c r="N104" s="58">
        <f>B104*2</f>
        <v/>
      </c>
      <c r="O104" s="57">
        <f>M104+N104</f>
        <v/>
      </c>
      <c r="P104" s="45">
        <f>K104*7.12</f>
        <v/>
      </c>
      <c r="Q104" s="56" t="inlineStr">
        <is>
          <t>Dak</t>
        </is>
      </c>
      <c r="R104" s="42" t="inlineStr">
        <is>
          <t>09-06-2026</t>
        </is>
      </c>
      <c r="S104" s="42" t="inlineStr">
        <is>
          <t>Peter</t>
        </is>
      </c>
      <c r="T104" s="56" t="inlineStr">
        <is>
          <t>/56</t>
        </is>
      </c>
      <c r="U104" s="56" t="inlineStr">
        <is>
          <t>/56</t>
        </is>
      </c>
    </row>
    <row r="105">
      <c r="A105" s="59" t="inlineStr">
        <is>
          <t>Lostock Fabric</t>
        </is>
      </c>
      <c r="B105" s="60" t="n">
        <v>4</v>
      </c>
      <c r="C105" s="61" t="n">
        <v>24</v>
      </c>
      <c r="D105" s="62" t="n">
        <v>0.55</v>
      </c>
      <c r="E105" s="62" t="n">
        <v>0.6</v>
      </c>
      <c r="F105" s="63" t="inlineStr">
        <is>
          <t>H</t>
        </is>
      </c>
      <c r="G105" s="63" t="n"/>
      <c r="H105" s="63" t="n"/>
      <c r="I105" s="62">
        <f>D105+0.03</f>
        <v/>
      </c>
      <c r="J105" s="62">
        <f>E105+0.03</f>
        <v/>
      </c>
      <c r="K105" s="64">
        <f>B105*I105*J105</f>
        <v/>
      </c>
      <c r="L105" s="60" t="n">
        <v>190</v>
      </c>
      <c r="M105" s="65">
        <f>K105*L105</f>
        <v/>
      </c>
      <c r="N105" s="66">
        <f>B105*2</f>
        <v/>
      </c>
      <c r="O105" s="65">
        <f>M105+N105</f>
        <v/>
      </c>
      <c r="P105" s="62">
        <f>K105*7.12</f>
        <v/>
      </c>
      <c r="Q105" s="63" t="inlineStr">
        <is>
          <t>Dak</t>
        </is>
      </c>
      <c r="R105" s="59" t="inlineStr">
        <is>
          <t>09-06-2026</t>
        </is>
      </c>
      <c r="S105" s="59" t="inlineStr">
        <is>
          <t>Peter</t>
        </is>
      </c>
      <c r="T105" s="63" t="inlineStr">
        <is>
          <t>log</t>
        </is>
      </c>
      <c r="U105" s="63" t="inlineStr">
        <is>
          <t>N/A</t>
        </is>
      </c>
    </row>
    <row r="106">
      <c r="A106" s="42" t="inlineStr">
        <is>
          <t>Lostock Fabric</t>
        </is>
      </c>
      <c r="B106" s="43" t="n">
        <v>1</v>
      </c>
      <c r="C106" s="55" t="n">
        <v>25</v>
      </c>
      <c r="D106" s="45" t="n">
        <v>0.8</v>
      </c>
      <c r="E106" s="45" t="n">
        <v>0.36</v>
      </c>
      <c r="F106" s="56" t="inlineStr">
        <is>
          <t>G</t>
        </is>
      </c>
      <c r="G106" s="56" t="n"/>
      <c r="H106" s="56" t="n"/>
      <c r="I106" s="45">
        <f>D106+0.03</f>
        <v/>
      </c>
      <c r="J106" s="45">
        <f>E106+0.03</f>
        <v/>
      </c>
      <c r="K106" s="44">
        <f>B106*I106*J106</f>
        <v/>
      </c>
      <c r="L106" s="43" t="n">
        <v>190</v>
      </c>
      <c r="M106" s="57">
        <f>K106*L106</f>
        <v/>
      </c>
      <c r="N106" s="58">
        <f>B106*2</f>
        <v/>
      </c>
      <c r="O106" s="57">
        <f>M106+N106</f>
        <v/>
      </c>
      <c r="P106" s="45">
        <f>K106*7.12</f>
        <v/>
      </c>
      <c r="Q106" s="56" t="inlineStr">
        <is>
          <t>2nd Floor</t>
        </is>
      </c>
      <c r="R106" s="42" t="inlineStr">
        <is>
          <t>09-06-2026</t>
        </is>
      </c>
      <c r="S106" s="42" t="inlineStr">
        <is>
          <t>Peter</t>
        </is>
      </c>
      <c r="T106" s="56" t="inlineStr">
        <is>
          <t>N/A</t>
        </is>
      </c>
      <c r="U106" s="56" t="inlineStr">
        <is>
          <t>N/A</t>
        </is>
      </c>
    </row>
    <row r="107">
      <c r="A107" s="59" t="inlineStr">
        <is>
          <t>Lostock Fabric</t>
        </is>
      </c>
      <c r="B107" s="60" t="n">
        <v>1</v>
      </c>
      <c r="C107" s="61" t="n">
        <v>26</v>
      </c>
      <c r="D107" s="62" t="n">
        <v>0.59</v>
      </c>
      <c r="E107" s="62" t="n">
        <v>0.25</v>
      </c>
      <c r="F107" s="63" t="inlineStr">
        <is>
          <t>G</t>
        </is>
      </c>
      <c r="G107" s="63" t="n"/>
      <c r="H107" s="63" t="n"/>
      <c r="I107" s="62">
        <f>D107+0.03</f>
        <v/>
      </c>
      <c r="J107" s="62">
        <f>E107+0.03</f>
        <v/>
      </c>
      <c r="K107" s="64">
        <f>B107*I107*J107</f>
        <v/>
      </c>
      <c r="L107" s="60" t="n">
        <v>190</v>
      </c>
      <c r="M107" s="65">
        <f>K107*L107</f>
        <v/>
      </c>
      <c r="N107" s="66">
        <f>B107*2</f>
        <v/>
      </c>
      <c r="O107" s="65">
        <f>M107+N107</f>
        <v/>
      </c>
      <c r="P107" s="62">
        <f>K107*7.12</f>
        <v/>
      </c>
      <c r="Q107" s="63" t="inlineStr">
        <is>
          <t>Turbine Hall</t>
        </is>
      </c>
      <c r="R107" s="59" t="inlineStr">
        <is>
          <t>09-06-2026</t>
        </is>
      </c>
      <c r="S107" s="59" t="inlineStr">
        <is>
          <t>Ron</t>
        </is>
      </c>
      <c r="T107" s="63" t="inlineStr">
        <is>
          <t>N/A</t>
        </is>
      </c>
      <c r="U107" s="63" t="inlineStr">
        <is>
          <t>N/A</t>
        </is>
      </c>
    </row>
    <row r="108">
      <c r="A108" s="42" t="inlineStr">
        <is>
          <t>Lostock Fabric</t>
        </is>
      </c>
      <c r="B108" s="43" t="n">
        <v>1</v>
      </c>
      <c r="C108" s="55" t="n">
        <v>27</v>
      </c>
      <c r="D108" s="45" t="n">
        <v>0.61</v>
      </c>
      <c r="E108" s="45" t="n">
        <v>0.13</v>
      </c>
      <c r="F108" s="56" t="inlineStr">
        <is>
          <t>G</t>
        </is>
      </c>
      <c r="G108" s="56" t="n"/>
      <c r="H108" s="56" t="n"/>
      <c r="I108" s="45">
        <f>D108+0.03</f>
        <v/>
      </c>
      <c r="J108" s="45">
        <f>E108+0.03</f>
        <v/>
      </c>
      <c r="K108" s="44">
        <f>B108*I108*J108</f>
        <v/>
      </c>
      <c r="L108" s="43" t="n">
        <v>190</v>
      </c>
      <c r="M108" s="57">
        <f>K108*L108</f>
        <v/>
      </c>
      <c r="N108" s="58">
        <f>B108*2</f>
        <v/>
      </c>
      <c r="O108" s="57">
        <f>M108+N108</f>
        <v/>
      </c>
      <c r="P108" s="45">
        <f>K108*7.12</f>
        <v/>
      </c>
      <c r="Q108" s="56" t="inlineStr">
        <is>
          <t>Ground Floor</t>
        </is>
      </c>
      <c r="R108" s="42" t="inlineStr">
        <is>
          <t>09-06-2026</t>
        </is>
      </c>
      <c r="S108" s="42" t="inlineStr">
        <is>
          <t>Peter</t>
        </is>
      </c>
      <c r="T108" s="56" t="inlineStr">
        <is>
          <t>4g</t>
        </is>
      </c>
      <c r="U108" s="56" t="inlineStr">
        <is>
          <t>N/A</t>
        </is>
      </c>
    </row>
    <row r="109">
      <c r="A109" s="59" t="inlineStr">
        <is>
          <t>Lostock Fabric</t>
        </is>
      </c>
      <c r="B109" s="60" t="n">
        <v>1</v>
      </c>
      <c r="C109" s="61" t="n">
        <v>28</v>
      </c>
      <c r="D109" s="62" t="n">
        <v>2.66</v>
      </c>
      <c r="E109" s="62" t="n">
        <v>1</v>
      </c>
      <c r="F109" s="63" t="inlineStr">
        <is>
          <t>G</t>
        </is>
      </c>
      <c r="G109" s="63" t="n"/>
      <c r="H109" s="63" t="n"/>
      <c r="I109" s="62">
        <f>D109+0.03</f>
        <v/>
      </c>
      <c r="J109" s="62">
        <f>E109+0.03</f>
        <v/>
      </c>
      <c r="K109" s="64">
        <f>B109*I109*J109</f>
        <v/>
      </c>
      <c r="L109" s="60" t="n">
        <v>190</v>
      </c>
      <c r="M109" s="65">
        <f>K109*L109</f>
        <v/>
      </c>
      <c r="N109" s="66">
        <f>B109*2</f>
        <v/>
      </c>
      <c r="O109" s="65">
        <f>M109+N109</f>
        <v/>
      </c>
      <c r="P109" s="62">
        <f>K109*7.12</f>
        <v/>
      </c>
      <c r="Q109" s="63" t="inlineStr">
        <is>
          <t>Dak</t>
        </is>
      </c>
      <c r="R109" s="59" t="inlineStr">
        <is>
          <t>09-06-2026</t>
        </is>
      </c>
      <c r="S109" s="59" t="inlineStr">
        <is>
          <t>Peter</t>
        </is>
      </c>
      <c r="T109" s="63" t="inlineStr">
        <is>
          <t>N/A</t>
        </is>
      </c>
      <c r="U109" s="63" t="inlineStr">
        <is>
          <t>N/A</t>
        </is>
      </c>
    </row>
    <row r="110">
      <c r="A110" s="42" t="inlineStr">
        <is>
          <t>Lostock Fabric</t>
        </is>
      </c>
      <c r="B110" s="43" t="n">
        <v>2</v>
      </c>
      <c r="C110" s="55" t="n">
        <v>29</v>
      </c>
      <c r="D110" s="45" t="n">
        <v>0.28</v>
      </c>
      <c r="E110" s="45" t="n">
        <v>0.23</v>
      </c>
      <c r="F110" s="56" t="inlineStr">
        <is>
          <t>G</t>
        </is>
      </c>
      <c r="G110" s="56" t="n"/>
      <c r="H110" s="56" t="n"/>
      <c r="I110" s="45">
        <f>D110+0.03</f>
        <v/>
      </c>
      <c r="J110" s="45">
        <f>E110+0.03</f>
        <v/>
      </c>
      <c r="K110" s="44">
        <f>B110*I110*J110</f>
        <v/>
      </c>
      <c r="L110" s="43" t="n">
        <v>190</v>
      </c>
      <c r="M110" s="57">
        <f>K110*L110</f>
        <v/>
      </c>
      <c r="N110" s="58">
        <f>B110*2</f>
        <v/>
      </c>
      <c r="O110" s="57">
        <f>M110+N110</f>
        <v/>
      </c>
      <c r="P110" s="45">
        <f>K110*7.12</f>
        <v/>
      </c>
      <c r="Q110" s="56" t="inlineStr">
        <is>
          <t>Turbine Hall</t>
        </is>
      </c>
      <c r="R110" s="42" t="inlineStr">
        <is>
          <t>09-06-2026</t>
        </is>
      </c>
      <c r="S110" s="42" t="inlineStr">
        <is>
          <t>Ron</t>
        </is>
      </c>
      <c r="T110" s="56" t="inlineStr">
        <is>
          <t>N/A</t>
        </is>
      </c>
      <c r="U110" s="56" t="inlineStr">
        <is>
          <t>N/A</t>
        </is>
      </c>
    </row>
    <row r="111">
      <c r="A111" s="59" t="inlineStr">
        <is>
          <t>Lostock Fabric</t>
        </is>
      </c>
      <c r="B111" s="60" t="n">
        <v>2</v>
      </c>
      <c r="C111" s="61" t="n">
        <v>30</v>
      </c>
      <c r="D111" s="62" t="n">
        <v>0.72</v>
      </c>
      <c r="E111" s="62" t="n">
        <v>0.79</v>
      </c>
      <c r="F111" s="63" t="inlineStr">
        <is>
          <t>H</t>
        </is>
      </c>
      <c r="G111" s="63" t="n"/>
      <c r="H111" s="63" t="n"/>
      <c r="I111" s="62">
        <f>D111+0.03</f>
        <v/>
      </c>
      <c r="J111" s="62">
        <f>E111+0.03</f>
        <v/>
      </c>
      <c r="K111" s="64">
        <f>B111*I111*J111</f>
        <v/>
      </c>
      <c r="L111" s="60" t="n">
        <v>190</v>
      </c>
      <c r="M111" s="65">
        <f>K111*L111</f>
        <v/>
      </c>
      <c r="N111" s="66">
        <f>B111*2</f>
        <v/>
      </c>
      <c r="O111" s="65">
        <f>M111+N111</f>
        <v/>
      </c>
      <c r="P111" s="62">
        <f>K111*7.12</f>
        <v/>
      </c>
      <c r="Q111" s="63" t="inlineStr">
        <is>
          <t>Turbine Hall</t>
        </is>
      </c>
      <c r="R111" s="59" t="inlineStr">
        <is>
          <t>09-06-2026</t>
        </is>
      </c>
      <c r="S111" s="59" t="inlineStr">
        <is>
          <t>Ron</t>
        </is>
      </c>
      <c r="T111" s="63" t="inlineStr">
        <is>
          <t>/2</t>
        </is>
      </c>
      <c r="U111" s="63" t="inlineStr">
        <is>
          <t>N/A</t>
        </is>
      </c>
    </row>
    <row r="112">
      <c r="A112" s="42" t="inlineStr">
        <is>
          <t>Lostock Fabric</t>
        </is>
      </c>
      <c r="B112" s="43" t="n">
        <v>2</v>
      </c>
      <c r="C112" s="55" t="n">
        <v>30</v>
      </c>
      <c r="D112" s="45" t="n">
        <v>0.23</v>
      </c>
      <c r="E112" s="45" t="n">
        <v>0.23</v>
      </c>
      <c r="F112" s="56" t="inlineStr">
        <is>
          <t>G/H</t>
        </is>
      </c>
      <c r="G112" s="56" t="n"/>
      <c r="H112" s="56" t="n"/>
      <c r="I112" s="45">
        <f>D112+0.03</f>
        <v/>
      </c>
      <c r="J112" s="45">
        <f>E112+0.03</f>
        <v/>
      </c>
      <c r="K112" s="44">
        <f>B112*I112*J112</f>
        <v/>
      </c>
      <c r="L112" s="43" t="n">
        <v>190</v>
      </c>
      <c r="M112" s="57">
        <f>K112*L112</f>
        <v/>
      </c>
      <c r="N112" s="58">
        <f>B112*2</f>
        <v/>
      </c>
      <c r="O112" s="57">
        <f>M112+N112</f>
        <v/>
      </c>
      <c r="P112" s="45">
        <f>K112*7.12</f>
        <v/>
      </c>
      <c r="Q112" s="56" t="inlineStr">
        <is>
          <t>Turbine Hall</t>
        </is>
      </c>
      <c r="R112" s="42" t="inlineStr">
        <is>
          <t>09-06-2026</t>
        </is>
      </c>
      <c r="S112" s="42" t="inlineStr">
        <is>
          <t>Ron</t>
        </is>
      </c>
      <c r="T112" s="56" t="inlineStr">
        <is>
          <t>/2</t>
        </is>
      </c>
      <c r="U112" s="56" t="inlineStr">
        <is>
          <t>N/A</t>
        </is>
      </c>
    </row>
    <row r="113">
      <c r="A113" s="59" t="inlineStr">
        <is>
          <t>Lostock Fabric</t>
        </is>
      </c>
      <c r="B113" s="60" t="n">
        <v>1</v>
      </c>
      <c r="C113" s="61" t="n">
        <v>31</v>
      </c>
      <c r="D113" s="62" t="n">
        <v>0.47</v>
      </c>
      <c r="E113" s="62" t="n">
        <v>0.35</v>
      </c>
      <c r="F113" s="63" t="inlineStr">
        <is>
          <t>NO G&amp;H</t>
        </is>
      </c>
      <c r="G113" s="63" t="n"/>
      <c r="H113" s="63" t="n"/>
      <c r="I113" s="62">
        <f>D113+0.03</f>
        <v/>
      </c>
      <c r="J113" s="62">
        <f>E113+0.03</f>
        <v/>
      </c>
      <c r="K113" s="64">
        <f>B113*I113*J113</f>
        <v/>
      </c>
      <c r="L113" s="60" t="n">
        <v>190</v>
      </c>
      <c r="M113" s="65">
        <f>K113*L113</f>
        <v/>
      </c>
      <c r="N113" s="66">
        <f>B113*2</f>
        <v/>
      </c>
      <c r="O113" s="65">
        <f>M113+N113</f>
        <v/>
      </c>
      <c r="P113" s="62">
        <f>K113*7.12</f>
        <v/>
      </c>
      <c r="Q113" s="63" t="inlineStr">
        <is>
          <t>Dak</t>
        </is>
      </c>
      <c r="R113" s="59" t="inlineStr">
        <is>
          <t>09-06-2026</t>
        </is>
      </c>
      <c r="S113" s="59" t="inlineStr">
        <is>
          <t>Peter</t>
        </is>
      </c>
      <c r="T113" s="63" t="inlineStr">
        <is>
          <t>/56</t>
        </is>
      </c>
      <c r="U113" s="63" t="inlineStr">
        <is>
          <t>/56</t>
        </is>
      </c>
    </row>
    <row r="114">
      <c r="A114" s="42" t="inlineStr">
        <is>
          <t>Lostock Fabric</t>
        </is>
      </c>
      <c r="B114" s="43" t="n">
        <v>1</v>
      </c>
      <c r="C114" s="55" t="n">
        <v>32</v>
      </c>
      <c r="D114" s="45" t="n">
        <v>0.4</v>
      </c>
      <c r="E114" s="45" t="n">
        <v>0.4</v>
      </c>
      <c r="F114" s="56" t="inlineStr">
        <is>
          <t>NO G&amp;H</t>
        </is>
      </c>
      <c r="G114" s="56" t="n"/>
      <c r="H114" s="56" t="n"/>
      <c r="I114" s="45">
        <f>D114+0.03</f>
        <v/>
      </c>
      <c r="J114" s="45">
        <f>E114+0.03</f>
        <v/>
      </c>
      <c r="K114" s="44">
        <f>B114*I114*J114</f>
        <v/>
      </c>
      <c r="L114" s="43" t="n">
        <v>190</v>
      </c>
      <c r="M114" s="57">
        <f>K114*L114</f>
        <v/>
      </c>
      <c r="N114" s="58">
        <f>B114*2</f>
        <v/>
      </c>
      <c r="O114" s="57">
        <f>M114+N114</f>
        <v/>
      </c>
      <c r="P114" s="45">
        <f>K114*7.12</f>
        <v/>
      </c>
      <c r="Q114" s="56" t="inlineStr">
        <is>
          <t>2 1/2 Floor</t>
        </is>
      </c>
      <c r="R114" s="42" t="inlineStr">
        <is>
          <t>09-06-2026</t>
        </is>
      </c>
      <c r="S114" s="42" t="inlineStr">
        <is>
          <t>Peter</t>
        </is>
      </c>
      <c r="T114" s="56" t="inlineStr">
        <is>
          <t>N/A</t>
        </is>
      </c>
      <c r="U114" s="56" t="inlineStr">
        <is>
          <t>N/A</t>
        </is>
      </c>
    </row>
    <row r="115">
      <c r="A115" s="59" t="inlineStr">
        <is>
          <t>Lostock Fabric</t>
        </is>
      </c>
      <c r="B115" s="60" t="n">
        <v>1</v>
      </c>
      <c r="C115" s="61" t="n">
        <v>33</v>
      </c>
      <c r="D115" s="62" t="n">
        <v>0.45</v>
      </c>
      <c r="E115" s="62" t="n">
        <v>0.41</v>
      </c>
      <c r="F115" s="63" t="inlineStr">
        <is>
          <t>NO G&amp;H</t>
        </is>
      </c>
      <c r="G115" s="63" t="n"/>
      <c r="H115" s="63" t="n"/>
      <c r="I115" s="62">
        <f>D115+0.03</f>
        <v/>
      </c>
      <c r="J115" s="62">
        <f>E115+0.03</f>
        <v/>
      </c>
      <c r="K115" s="64">
        <f>B115*I115*J115</f>
        <v/>
      </c>
      <c r="L115" s="60" t="n">
        <v>190</v>
      </c>
      <c r="M115" s="65">
        <f>K115*L115</f>
        <v/>
      </c>
      <c r="N115" s="66">
        <f>B115*2</f>
        <v/>
      </c>
      <c r="O115" s="65">
        <f>M115+N115</f>
        <v/>
      </c>
      <c r="P115" s="62">
        <f>K115*7.12</f>
        <v/>
      </c>
      <c r="Q115" s="63" t="inlineStr">
        <is>
          <t>Dak</t>
        </is>
      </c>
      <c r="R115" s="59" t="inlineStr">
        <is>
          <t>09-06-2026</t>
        </is>
      </c>
      <c r="S115" s="59" t="inlineStr">
        <is>
          <t>Peter</t>
        </is>
      </c>
      <c r="T115" s="63" t="inlineStr">
        <is>
          <t>N/A</t>
        </is>
      </c>
      <c r="U115" s="63" t="inlineStr">
        <is>
          <t>N/A</t>
        </is>
      </c>
    </row>
    <row r="116">
      <c r="A116" s="42" t="inlineStr">
        <is>
          <t>Lostock Fabric</t>
        </is>
      </c>
      <c r="B116" s="43" t="n">
        <v>1</v>
      </c>
      <c r="C116" s="55" t="n">
        <v>34</v>
      </c>
      <c r="D116" s="45" t="n">
        <v>0.41</v>
      </c>
      <c r="E116" s="45" t="n">
        <v>0.41</v>
      </c>
      <c r="F116" s="56" t="inlineStr">
        <is>
          <t>NO G&amp;H</t>
        </is>
      </c>
      <c r="G116" s="56" t="n"/>
      <c r="H116" s="56" t="n"/>
      <c r="I116" s="45">
        <f>D116+0.03</f>
        <v/>
      </c>
      <c r="J116" s="45">
        <f>E116+0.03</f>
        <v/>
      </c>
      <c r="K116" s="44">
        <f>B116*I116*J116</f>
        <v/>
      </c>
      <c r="L116" s="43" t="n">
        <v>190</v>
      </c>
      <c r="M116" s="57">
        <f>K116*L116</f>
        <v/>
      </c>
      <c r="N116" s="58">
        <f>B116*2</f>
        <v/>
      </c>
      <c r="O116" s="57">
        <f>M116+N116</f>
        <v/>
      </c>
      <c r="P116" s="45">
        <f>K116*7.12</f>
        <v/>
      </c>
      <c r="Q116" s="56" t="inlineStr">
        <is>
          <t>Dak</t>
        </is>
      </c>
      <c r="R116" s="42" t="inlineStr">
        <is>
          <t>09-06-2026</t>
        </is>
      </c>
      <c r="S116" s="42" t="inlineStr">
        <is>
          <t>Peter</t>
        </is>
      </c>
      <c r="T116" s="56" t="inlineStr">
        <is>
          <t>N/A</t>
        </is>
      </c>
      <c r="U116" s="56" t="inlineStr">
        <is>
          <t>N/A</t>
        </is>
      </c>
    </row>
    <row r="117">
      <c r="A117" s="59" t="inlineStr">
        <is>
          <t>Lostock Fabric</t>
        </is>
      </c>
      <c r="B117" s="60" t="n">
        <v>1</v>
      </c>
      <c r="C117" s="61" t="n">
        <v>35</v>
      </c>
      <c r="D117" s="62" t="n">
        <v>0.41</v>
      </c>
      <c r="E117" s="62" t="n">
        <v>0.41</v>
      </c>
      <c r="F117" s="63" t="inlineStr">
        <is>
          <t>NO G&amp;H</t>
        </is>
      </c>
      <c r="G117" s="63" t="n"/>
      <c r="H117" s="63" t="n"/>
      <c r="I117" s="62">
        <f>D117+0.03</f>
        <v/>
      </c>
      <c r="J117" s="62">
        <f>E117+0.03</f>
        <v/>
      </c>
      <c r="K117" s="64">
        <f>B117*I117*J117</f>
        <v/>
      </c>
      <c r="L117" s="60" t="n">
        <v>190</v>
      </c>
      <c r="M117" s="65">
        <f>K117*L117</f>
        <v/>
      </c>
      <c r="N117" s="66">
        <f>B117*2</f>
        <v/>
      </c>
      <c r="O117" s="65">
        <f>M117+N117</f>
        <v/>
      </c>
      <c r="P117" s="62">
        <f>K117*7.12</f>
        <v/>
      </c>
      <c r="Q117" s="63" t="inlineStr">
        <is>
          <t>Dak</t>
        </is>
      </c>
      <c r="R117" s="59" t="inlineStr">
        <is>
          <t>09-06-2026</t>
        </is>
      </c>
      <c r="S117" s="59" t="inlineStr">
        <is>
          <t>Peter</t>
        </is>
      </c>
      <c r="T117" s="63" t="inlineStr">
        <is>
          <t>log</t>
        </is>
      </c>
      <c r="U117" s="63" t="inlineStr">
        <is>
          <t>N/A</t>
        </is>
      </c>
    </row>
    <row r="118">
      <c r="A118" s="42" t="inlineStr">
        <is>
          <t>Lostock Fabric</t>
        </is>
      </c>
      <c r="B118" s="43" t="n">
        <v>1</v>
      </c>
      <c r="C118" s="55" t="n">
        <v>36</v>
      </c>
      <c r="D118" s="45" t="n">
        <v>0.4</v>
      </c>
      <c r="E118" s="45" t="n">
        <v>0.4</v>
      </c>
      <c r="F118" s="56" t="inlineStr">
        <is>
          <t>NO G&amp;H</t>
        </is>
      </c>
      <c r="G118" s="56" t="n"/>
      <c r="H118" s="56" t="n"/>
      <c r="I118" s="45">
        <f>D118+0.03</f>
        <v/>
      </c>
      <c r="J118" s="45">
        <f>E118+0.03</f>
        <v/>
      </c>
      <c r="K118" s="44">
        <f>B118*I118*J118</f>
        <v/>
      </c>
      <c r="L118" s="43" t="n">
        <v>190</v>
      </c>
      <c r="M118" s="57">
        <f>K118*L118</f>
        <v/>
      </c>
      <c r="N118" s="58">
        <f>B118*2</f>
        <v/>
      </c>
      <c r="O118" s="57">
        <f>M118+N118</f>
        <v/>
      </c>
      <c r="P118" s="45">
        <f>K118*7.12</f>
        <v/>
      </c>
      <c r="Q118" s="56" t="inlineStr">
        <is>
          <t>Dak</t>
        </is>
      </c>
      <c r="R118" s="42" t="inlineStr">
        <is>
          <t>09-06-2026</t>
        </is>
      </c>
      <c r="S118" s="42" t="inlineStr">
        <is>
          <t>Peter</t>
        </is>
      </c>
      <c r="T118" s="56" t="inlineStr">
        <is>
          <t>N/A</t>
        </is>
      </c>
      <c r="U118" s="56" t="inlineStr">
        <is>
          <t>N/A</t>
        </is>
      </c>
    </row>
    <row r="119">
      <c r="A119" s="59" t="inlineStr">
        <is>
          <t>Lostock Fabric</t>
        </is>
      </c>
      <c r="B119" s="60" t="n">
        <v>1</v>
      </c>
      <c r="C119" s="61" t="n">
        <v>37</v>
      </c>
      <c r="D119" s="62" t="n">
        <v>0.45</v>
      </c>
      <c r="E119" s="62" t="n">
        <v>0.41</v>
      </c>
      <c r="F119" s="63" t="inlineStr">
        <is>
          <t>NO G&amp;H</t>
        </is>
      </c>
      <c r="G119" s="63" t="n"/>
      <c r="H119" s="63" t="n"/>
      <c r="I119" s="62">
        <f>D119+0.03</f>
        <v/>
      </c>
      <c r="J119" s="62">
        <f>E119+0.03</f>
        <v/>
      </c>
      <c r="K119" s="64">
        <f>B119*I119*J119</f>
        <v/>
      </c>
      <c r="L119" s="60" t="n">
        <v>190</v>
      </c>
      <c r="M119" s="65">
        <f>K119*L119</f>
        <v/>
      </c>
      <c r="N119" s="66">
        <f>B119*2</f>
        <v/>
      </c>
      <c r="O119" s="65">
        <f>M119+N119</f>
        <v/>
      </c>
      <c r="P119" s="62">
        <f>K119*7.12</f>
        <v/>
      </c>
      <c r="Q119" s="63" t="inlineStr">
        <is>
          <t>Dak</t>
        </is>
      </c>
      <c r="R119" s="59" t="inlineStr">
        <is>
          <t>09-06-2026</t>
        </is>
      </c>
      <c r="S119" s="59" t="inlineStr">
        <is>
          <t>Peter</t>
        </is>
      </c>
      <c r="T119" s="63" t="inlineStr">
        <is>
          <t>N/A</t>
        </is>
      </c>
      <c r="U119" s="63" t="inlineStr">
        <is>
          <t>N/A</t>
        </is>
      </c>
    </row>
    <row r="120">
      <c r="A120" s="42" t="inlineStr">
        <is>
          <t>Lostock Fabric</t>
        </is>
      </c>
      <c r="B120" s="43" t="n">
        <v>1</v>
      </c>
      <c r="C120" s="55" t="n">
        <v>38</v>
      </c>
      <c r="D120" s="45" t="n">
        <v>0.38</v>
      </c>
      <c r="E120" s="45" t="n">
        <v>0.4</v>
      </c>
      <c r="F120" s="56" t="inlineStr">
        <is>
          <t>NO G&amp;H</t>
        </is>
      </c>
      <c r="G120" s="56" t="n"/>
      <c r="H120" s="56" t="n"/>
      <c r="I120" s="45">
        <f>D120+0.03</f>
        <v/>
      </c>
      <c r="J120" s="45">
        <f>E120+0.03</f>
        <v/>
      </c>
      <c r="K120" s="44">
        <f>B120*I120*J120</f>
        <v/>
      </c>
      <c r="L120" s="43" t="n">
        <v>190</v>
      </c>
      <c r="M120" s="57">
        <f>K120*L120</f>
        <v/>
      </c>
      <c r="N120" s="58">
        <f>B120*2</f>
        <v/>
      </c>
      <c r="O120" s="57">
        <f>M120+N120</f>
        <v/>
      </c>
      <c r="P120" s="45">
        <f>K120*7.12</f>
        <v/>
      </c>
      <c r="Q120" s="56" t="inlineStr">
        <is>
          <t>Ground Floor</t>
        </is>
      </c>
      <c r="R120" s="42" t="inlineStr">
        <is>
          <t>09-06-2026</t>
        </is>
      </c>
      <c r="S120" s="42" t="inlineStr">
        <is>
          <t>Peter</t>
        </is>
      </c>
      <c r="T120" s="56" t="inlineStr">
        <is>
          <t>4g</t>
        </is>
      </c>
      <c r="U120" s="56" t="inlineStr">
        <is>
          <t>N/A</t>
        </is>
      </c>
    </row>
    <row r="121">
      <c r="A121" s="59" t="inlineStr">
        <is>
          <t>Lostock Fabric</t>
        </is>
      </c>
      <c r="B121" s="60" t="n">
        <v>16</v>
      </c>
      <c r="C121" s="61" t="n">
        <v>39</v>
      </c>
      <c r="D121" s="62" t="n">
        <v>0.83</v>
      </c>
      <c r="E121" s="62" t="n">
        <v>0.21</v>
      </c>
      <c r="F121" s="63" t="n"/>
      <c r="G121" s="63" t="n"/>
      <c r="H121" s="63" t="n"/>
      <c r="I121" s="62">
        <f>D121+0.03</f>
        <v/>
      </c>
      <c r="J121" s="62">
        <f>E121+0.03</f>
        <v/>
      </c>
      <c r="K121" s="64">
        <f>B121*I121*J121</f>
        <v/>
      </c>
      <c r="L121" s="60" t="n">
        <v>190</v>
      </c>
      <c r="M121" s="65">
        <f>K121*L121</f>
        <v/>
      </c>
      <c r="N121" s="66">
        <f>B121*2</f>
        <v/>
      </c>
      <c r="O121" s="65">
        <f>M121+N121</f>
        <v/>
      </c>
      <c r="P121" s="62">
        <f>K121*7.12</f>
        <v/>
      </c>
      <c r="Q121" s="63" t="inlineStr">
        <is>
          <t>Ground Floor</t>
        </is>
      </c>
      <c r="R121" s="59" t="inlineStr">
        <is>
          <t>09-06-2026</t>
        </is>
      </c>
      <c r="S121" s="59" t="inlineStr">
        <is>
          <t>Peter</t>
        </is>
      </c>
      <c r="T121" s="63" t="inlineStr">
        <is>
          <t>5 Zs</t>
        </is>
      </c>
      <c r="U121" s="63" t="inlineStr">
        <is>
          <t>N/A</t>
        </is>
      </c>
    </row>
    <row r="122">
      <c r="A122" s="42" t="inlineStr">
        <is>
          <t>Lostock Fabric</t>
        </is>
      </c>
      <c r="B122" s="43" t="n">
        <v>16</v>
      </c>
      <c r="C122" s="55" t="n">
        <v>39</v>
      </c>
      <c r="D122" s="45" t="n">
        <v>0.26</v>
      </c>
      <c r="E122" s="45" t="n">
        <v>0.26</v>
      </c>
      <c r="F122" s="56" t="n"/>
      <c r="G122" s="56" t="n"/>
      <c r="H122" s="56" t="n"/>
      <c r="I122" s="45">
        <f>D122+0.03</f>
        <v/>
      </c>
      <c r="J122" s="45">
        <f>E122+0.03</f>
        <v/>
      </c>
      <c r="K122" s="44">
        <f>B122*I122*J122</f>
        <v/>
      </c>
      <c r="L122" s="43" t="n">
        <v>190</v>
      </c>
      <c r="M122" s="57">
        <f>K122*L122</f>
        <v/>
      </c>
      <c r="N122" s="58">
        <f>B122*2</f>
        <v/>
      </c>
      <c r="O122" s="57">
        <f>M122+N122</f>
        <v/>
      </c>
      <c r="P122" s="45">
        <f>K122*7.12</f>
        <v/>
      </c>
      <c r="Q122" s="56" t="inlineStr">
        <is>
          <t>Ground Floor</t>
        </is>
      </c>
      <c r="R122" s="42" t="inlineStr">
        <is>
          <t>09-06-2026</t>
        </is>
      </c>
      <c r="S122" s="42" t="inlineStr">
        <is>
          <t>Peter</t>
        </is>
      </c>
      <c r="T122" s="56" t="inlineStr">
        <is>
          <t>5 Zs</t>
        </is>
      </c>
      <c r="U122" s="56" t="inlineStr">
        <is>
          <t>N/A</t>
        </is>
      </c>
    </row>
    <row r="123">
      <c r="A123" s="59" t="inlineStr">
        <is>
          <t>Lostock Fabric</t>
        </is>
      </c>
      <c r="B123" s="60" t="n">
        <v>4</v>
      </c>
      <c r="C123" s="61" t="n">
        <v>40</v>
      </c>
      <c r="D123" s="62" t="n">
        <v>0.9</v>
      </c>
      <c r="E123" s="62" t="n">
        <v>0.9</v>
      </c>
      <c r="F123" s="63" t="n"/>
      <c r="G123" s="63" t="n"/>
      <c r="H123" s="63" t="n"/>
      <c r="I123" s="62">
        <f>D123+0.03</f>
        <v/>
      </c>
      <c r="J123" s="62">
        <f>E123+0.03</f>
        <v/>
      </c>
      <c r="K123" s="64">
        <f>B123*I123*J123</f>
        <v/>
      </c>
      <c r="L123" s="60" t="n">
        <v>190</v>
      </c>
      <c r="M123" s="65">
        <f>K123*L123</f>
        <v/>
      </c>
      <c r="N123" s="66">
        <f>B123*2</f>
        <v/>
      </c>
      <c r="O123" s="65">
        <f>M123+N123</f>
        <v/>
      </c>
      <c r="P123" s="62">
        <f>K123*7.12</f>
        <v/>
      </c>
      <c r="Q123" s="63" t="inlineStr">
        <is>
          <t>Dak</t>
        </is>
      </c>
      <c r="R123" s="59" t="inlineStr">
        <is>
          <t>09-06-2026</t>
        </is>
      </c>
      <c r="S123" s="59" t="inlineStr">
        <is>
          <t>Peter</t>
        </is>
      </c>
      <c r="T123" s="63" t="inlineStr">
        <is>
          <t>N/A</t>
        </is>
      </c>
      <c r="U123" s="63" t="inlineStr">
        <is>
          <t>N/A</t>
        </is>
      </c>
    </row>
    <row r="124">
      <c r="A124" s="42" t="inlineStr">
        <is>
          <t>Lostock Fabric</t>
        </is>
      </c>
      <c r="B124" s="43" t="n">
        <v>4</v>
      </c>
      <c r="C124" s="55" t="n">
        <v>41</v>
      </c>
      <c r="D124" s="45" t="n">
        <v>1.67</v>
      </c>
      <c r="E124" s="45" t="n">
        <v>0.89</v>
      </c>
      <c r="F124" s="56" t="n"/>
      <c r="G124" s="56" t="n"/>
      <c r="H124" s="56" t="n"/>
      <c r="I124" s="45">
        <f>D124+0.03</f>
        <v/>
      </c>
      <c r="J124" s="45">
        <f>E124+0.03</f>
        <v/>
      </c>
      <c r="K124" s="44">
        <f>B124*I124*J124</f>
        <v/>
      </c>
      <c r="L124" s="43" t="n">
        <v>190</v>
      </c>
      <c r="M124" s="57">
        <f>K124*L124</f>
        <v/>
      </c>
      <c r="N124" s="58">
        <f>B124*2</f>
        <v/>
      </c>
      <c r="O124" s="57">
        <f>M124+N124</f>
        <v/>
      </c>
      <c r="P124" s="45">
        <f>K124*7.12</f>
        <v/>
      </c>
      <c r="Q124" s="56" t="inlineStr">
        <is>
          <t>Dak</t>
        </is>
      </c>
      <c r="R124" s="42" t="inlineStr">
        <is>
          <t>09-06-2026</t>
        </is>
      </c>
      <c r="S124" s="42" t="inlineStr">
        <is>
          <t>Peter</t>
        </is>
      </c>
      <c r="T124" s="56" t="inlineStr">
        <is>
          <t>N/A</t>
        </is>
      </c>
      <c r="U124" s="56" t="inlineStr">
        <is>
          <t>N/A</t>
        </is>
      </c>
    </row>
    <row r="125">
      <c r="A125" s="59" t="inlineStr">
        <is>
          <t>Lostock Fabric</t>
        </is>
      </c>
      <c r="B125" s="60" t="n">
        <v>4</v>
      </c>
      <c r="C125" s="61" t="n">
        <v>41</v>
      </c>
      <c r="D125" s="62" t="n">
        <v>0.53</v>
      </c>
      <c r="E125" s="62" t="n">
        <v>0.53</v>
      </c>
      <c r="F125" s="63" t="n"/>
      <c r="G125" s="63" t="n"/>
      <c r="H125" s="63" t="n"/>
      <c r="I125" s="62">
        <f>D125+0.03</f>
        <v/>
      </c>
      <c r="J125" s="62">
        <f>E125+0.03</f>
        <v/>
      </c>
      <c r="K125" s="64">
        <f>B125*I125*J125</f>
        <v/>
      </c>
      <c r="L125" s="60" t="n">
        <v>190</v>
      </c>
      <c r="M125" s="65">
        <f>K125*L125</f>
        <v/>
      </c>
      <c r="N125" s="66">
        <f>B125*2</f>
        <v/>
      </c>
      <c r="O125" s="65">
        <f>M125+N125</f>
        <v/>
      </c>
      <c r="P125" s="62">
        <f>K125*7.12</f>
        <v/>
      </c>
      <c r="Q125" s="63" t="inlineStr">
        <is>
          <t>Dak</t>
        </is>
      </c>
      <c r="R125" s="59" t="inlineStr">
        <is>
          <t>09-06-2026</t>
        </is>
      </c>
      <c r="S125" s="59" t="inlineStr">
        <is>
          <t>Peter</t>
        </is>
      </c>
      <c r="T125" s="63" t="inlineStr">
        <is>
          <t>N/A</t>
        </is>
      </c>
      <c r="U125" s="63" t="inlineStr">
        <is>
          <t>N/A</t>
        </is>
      </c>
    </row>
    <row r="126">
      <c r="A126" s="42" t="inlineStr">
        <is>
          <t>Lostock Fabric</t>
        </is>
      </c>
      <c r="B126" s="43" t="n">
        <v>8</v>
      </c>
      <c r="C126" s="55" t="n">
        <v>42</v>
      </c>
      <c r="D126" s="45" t="n">
        <v>1.04</v>
      </c>
      <c r="E126" s="45" t="n">
        <v>0.37</v>
      </c>
      <c r="F126" s="56" t="n"/>
      <c r="G126" s="56" t="n"/>
      <c r="H126" s="56" t="n"/>
      <c r="I126" s="45">
        <f>D126+0.03</f>
        <v/>
      </c>
      <c r="J126" s="45">
        <f>E126+0.03</f>
        <v/>
      </c>
      <c r="K126" s="44">
        <f>B126*I126*J126</f>
        <v/>
      </c>
      <c r="L126" s="43" t="n">
        <v>190</v>
      </c>
      <c r="M126" s="57">
        <f>K126*L126</f>
        <v/>
      </c>
      <c r="N126" s="58">
        <f>B126*2</f>
        <v/>
      </c>
      <c r="O126" s="57">
        <f>M126+N126</f>
        <v/>
      </c>
      <c r="P126" s="45">
        <f>K126*7.12</f>
        <v/>
      </c>
      <c r="Q126" s="56" t="inlineStr">
        <is>
          <t>Dak</t>
        </is>
      </c>
      <c r="R126" s="42" t="inlineStr">
        <is>
          <t>09-06-2026</t>
        </is>
      </c>
      <c r="S126" s="42" t="inlineStr">
        <is>
          <t>Peter</t>
        </is>
      </c>
      <c r="T126" s="56" t="inlineStr">
        <is>
          <t>N/A</t>
        </is>
      </c>
      <c r="U126" s="56" t="inlineStr">
        <is>
          <t>N/A</t>
        </is>
      </c>
    </row>
    <row r="127">
      <c r="A127" s="59" t="inlineStr">
        <is>
          <t>Lostock Fabric</t>
        </is>
      </c>
      <c r="B127" s="60" t="n">
        <v>4</v>
      </c>
      <c r="C127" s="61" t="n">
        <v>43</v>
      </c>
      <c r="D127" s="62" t="n">
        <v>1.67</v>
      </c>
      <c r="E127" s="62" t="n">
        <v>0.97</v>
      </c>
      <c r="F127" s="63" t="n"/>
      <c r="G127" s="63" t="n"/>
      <c r="H127" s="63" t="n"/>
      <c r="I127" s="62">
        <f>D127+0.03</f>
        <v/>
      </c>
      <c r="J127" s="62">
        <f>E127+0.03</f>
        <v/>
      </c>
      <c r="K127" s="64">
        <f>B127*I127*J127</f>
        <v/>
      </c>
      <c r="L127" s="60" t="n">
        <v>190</v>
      </c>
      <c r="M127" s="65">
        <f>K127*L127</f>
        <v/>
      </c>
      <c r="N127" s="66">
        <f>B127*2</f>
        <v/>
      </c>
      <c r="O127" s="65">
        <f>M127+N127</f>
        <v/>
      </c>
      <c r="P127" s="62">
        <f>K127*7.12</f>
        <v/>
      </c>
      <c r="Q127" s="63" t="inlineStr">
        <is>
          <t>Dak</t>
        </is>
      </c>
      <c r="R127" s="59" t="inlineStr">
        <is>
          <t>09-06-2026</t>
        </is>
      </c>
      <c r="S127" s="59" t="inlineStr">
        <is>
          <t>Peter</t>
        </is>
      </c>
      <c r="T127" s="63" t="inlineStr">
        <is>
          <t>N/A</t>
        </is>
      </c>
      <c r="U127" s="63" t="inlineStr">
        <is>
          <t>N/A</t>
        </is>
      </c>
    </row>
    <row r="128">
      <c r="A128" s="42" t="inlineStr">
        <is>
          <t>Lostock Fabric</t>
        </is>
      </c>
      <c r="B128" s="43" t="n">
        <v>4</v>
      </c>
      <c r="C128" s="55" t="n">
        <v>43</v>
      </c>
      <c r="D128" s="45" t="n">
        <v>0.53</v>
      </c>
      <c r="E128" s="45" t="n">
        <v>0.53</v>
      </c>
      <c r="F128" s="56" t="n"/>
      <c r="G128" s="56" t="n"/>
      <c r="H128" s="56" t="n"/>
      <c r="I128" s="45">
        <f>D128+0.03</f>
        <v/>
      </c>
      <c r="J128" s="45">
        <f>E128+0.03</f>
        <v/>
      </c>
      <c r="K128" s="44">
        <f>B128*I128*J128</f>
        <v/>
      </c>
      <c r="L128" s="43" t="n">
        <v>190</v>
      </c>
      <c r="M128" s="57">
        <f>K128*L128</f>
        <v/>
      </c>
      <c r="N128" s="58">
        <f>B128*2</f>
        <v/>
      </c>
      <c r="O128" s="57">
        <f>M128+N128</f>
        <v/>
      </c>
      <c r="P128" s="45">
        <f>K128*7.12</f>
        <v/>
      </c>
      <c r="Q128" s="56" t="inlineStr">
        <is>
          <t>Dak</t>
        </is>
      </c>
      <c r="R128" s="42" t="inlineStr">
        <is>
          <t>09-06-2026</t>
        </is>
      </c>
      <c r="S128" s="42" t="inlineStr">
        <is>
          <t>Peter</t>
        </is>
      </c>
      <c r="T128" s="56" t="inlineStr">
        <is>
          <t>N/A</t>
        </is>
      </c>
      <c r="U128" s="56" t="inlineStr">
        <is>
          <t>N/A</t>
        </is>
      </c>
    </row>
    <row r="129">
      <c r="A129" s="59" t="inlineStr">
        <is>
          <t>Lostock Fabric</t>
        </is>
      </c>
      <c r="B129" s="60" t="n">
        <v>4</v>
      </c>
      <c r="C129" s="61" t="n">
        <v>44</v>
      </c>
      <c r="D129" s="62" t="n">
        <v>0.63</v>
      </c>
      <c r="E129" s="62" t="n">
        <v>1.1</v>
      </c>
      <c r="F129" s="63" t="n"/>
      <c r="G129" s="63" t="n"/>
      <c r="H129" s="63" t="n"/>
      <c r="I129" s="62">
        <f>D129+0.03</f>
        <v/>
      </c>
      <c r="J129" s="62">
        <f>E129+0.03</f>
        <v/>
      </c>
      <c r="K129" s="64">
        <f>B129*I129*J129</f>
        <v/>
      </c>
      <c r="L129" s="60" t="n">
        <v>190</v>
      </c>
      <c r="M129" s="65">
        <f>K129*L129</f>
        <v/>
      </c>
      <c r="N129" s="66">
        <f>B129*2</f>
        <v/>
      </c>
      <c r="O129" s="65">
        <f>M129+N129</f>
        <v/>
      </c>
      <c r="P129" s="62">
        <f>K129*7.12</f>
        <v/>
      </c>
      <c r="Q129" s="63" t="inlineStr">
        <is>
          <t>2nd Floor</t>
        </is>
      </c>
      <c r="R129" s="59" t="inlineStr">
        <is>
          <t>10-06-2026</t>
        </is>
      </c>
      <c r="S129" s="59" t="inlineStr">
        <is>
          <t>Peter</t>
        </is>
      </c>
      <c r="T129" s="63" t="inlineStr">
        <is>
          <t>N/A</t>
        </is>
      </c>
      <c r="U129" s="63" t="inlineStr">
        <is>
          <t>N/A</t>
        </is>
      </c>
    </row>
    <row r="130">
      <c r="A130" s="42" t="inlineStr">
        <is>
          <t>Lostock Fabric</t>
        </is>
      </c>
      <c r="B130" s="43" t="n">
        <v>4</v>
      </c>
      <c r="C130" s="55" t="n">
        <v>44</v>
      </c>
      <c r="D130" s="45" t="n">
        <v>0.2</v>
      </c>
      <c r="E130" s="45" t="n">
        <v>0.2</v>
      </c>
      <c r="F130" s="56" t="n"/>
      <c r="G130" s="56" t="n"/>
      <c r="H130" s="56" t="n"/>
      <c r="I130" s="45">
        <f>D130+0.03</f>
        <v/>
      </c>
      <c r="J130" s="45">
        <f>E130+0.03</f>
        <v/>
      </c>
      <c r="K130" s="44">
        <f>B130*I130*J130</f>
        <v/>
      </c>
      <c r="L130" s="43" t="n">
        <v>190</v>
      </c>
      <c r="M130" s="57">
        <f>K130*L130</f>
        <v/>
      </c>
      <c r="N130" s="58">
        <f>B130*2</f>
        <v/>
      </c>
      <c r="O130" s="57">
        <f>M130+N130</f>
        <v/>
      </c>
      <c r="P130" s="45">
        <f>K130*7.12</f>
        <v/>
      </c>
      <c r="Q130" s="56" t="inlineStr">
        <is>
          <t>2nd Floor</t>
        </is>
      </c>
      <c r="R130" s="42" t="inlineStr">
        <is>
          <t>10-06-2026</t>
        </is>
      </c>
      <c r="S130" s="42" t="inlineStr">
        <is>
          <t>Peter</t>
        </is>
      </c>
      <c r="T130" s="56" t="inlineStr">
        <is>
          <t>N/A</t>
        </is>
      </c>
      <c r="U130" s="56" t="inlineStr">
        <is>
          <t>N/A</t>
        </is>
      </c>
    </row>
    <row r="131">
      <c r="A131" s="59" t="inlineStr">
        <is>
          <t>Lostock Fabric</t>
        </is>
      </c>
      <c r="B131" s="60" t="n">
        <v>8</v>
      </c>
      <c r="C131" s="61" t="n">
        <v>45</v>
      </c>
      <c r="D131" s="62" t="n">
        <v>0.36</v>
      </c>
      <c r="E131" s="62" t="n">
        <v>0.16</v>
      </c>
      <c r="F131" s="63" t="n"/>
      <c r="G131" s="63" t="n"/>
      <c r="H131" s="63" t="n"/>
      <c r="I131" s="62">
        <f>D131+0.03</f>
        <v/>
      </c>
      <c r="J131" s="62">
        <f>E131+0.03</f>
        <v/>
      </c>
      <c r="K131" s="64">
        <f>B131*I131*J131</f>
        <v/>
      </c>
      <c r="L131" s="60" t="n">
        <v>190</v>
      </c>
      <c r="M131" s="65">
        <f>K131*L131</f>
        <v/>
      </c>
      <c r="N131" s="66">
        <f>B131*2</f>
        <v/>
      </c>
      <c r="O131" s="65">
        <f>M131+N131</f>
        <v/>
      </c>
      <c r="P131" s="62">
        <f>K131*7.12</f>
        <v/>
      </c>
      <c r="Q131" s="63" t="inlineStr">
        <is>
          <t>Dak</t>
        </is>
      </c>
      <c r="R131" s="59" t="inlineStr">
        <is>
          <t>10-06-2026</t>
        </is>
      </c>
      <c r="S131" s="59" t="inlineStr">
        <is>
          <t>Peter</t>
        </is>
      </c>
      <c r="T131" s="63" t="inlineStr">
        <is>
          <t>N/A</t>
        </is>
      </c>
      <c r="U131" s="63" t="inlineStr">
        <is>
          <t>N/A</t>
        </is>
      </c>
    </row>
    <row r="132">
      <c r="A132" s="42" t="inlineStr">
        <is>
          <t>Lostock Fabric</t>
        </is>
      </c>
      <c r="B132" s="43" t="n">
        <v>4</v>
      </c>
      <c r="C132" s="55" t="n">
        <v>46</v>
      </c>
      <c r="D132" s="45" t="n">
        <v>0.53</v>
      </c>
      <c r="E132" s="45" t="n">
        <v>1.32</v>
      </c>
      <c r="F132" s="56" t="n"/>
      <c r="G132" s="56" t="n"/>
      <c r="H132" s="56" t="n"/>
      <c r="I132" s="45">
        <f>D132+0.03</f>
        <v/>
      </c>
      <c r="J132" s="45">
        <f>E132+0.03</f>
        <v/>
      </c>
      <c r="K132" s="44">
        <f>B132*I132*J132</f>
        <v/>
      </c>
      <c r="L132" s="43" t="n">
        <v>190</v>
      </c>
      <c r="M132" s="57">
        <f>K132*L132</f>
        <v/>
      </c>
      <c r="N132" s="58">
        <f>B132*2</f>
        <v/>
      </c>
      <c r="O132" s="57">
        <f>M132+N132</f>
        <v/>
      </c>
      <c r="P132" s="45">
        <f>K132*7.12</f>
        <v/>
      </c>
      <c r="Q132" s="56" t="inlineStr">
        <is>
          <t>Dak</t>
        </is>
      </c>
      <c r="R132" s="42" t="inlineStr">
        <is>
          <t>10-06-2026</t>
        </is>
      </c>
      <c r="S132" s="42" t="inlineStr">
        <is>
          <t>Peter</t>
        </is>
      </c>
      <c r="T132" s="56" t="inlineStr">
        <is>
          <t>/0</t>
        </is>
      </c>
      <c r="U132" s="56" t="inlineStr">
        <is>
          <t>N/A</t>
        </is>
      </c>
    </row>
    <row r="133">
      <c r="A133" s="59" t="inlineStr">
        <is>
          <t>Lostock Fabric</t>
        </is>
      </c>
      <c r="B133" s="60" t="n">
        <v>8</v>
      </c>
      <c r="C133" s="61" t="n">
        <v>47</v>
      </c>
      <c r="D133" s="62" t="n">
        <v>0.83</v>
      </c>
      <c r="E133" s="62" t="n">
        <v>0.36</v>
      </c>
      <c r="F133" s="63" t="n"/>
      <c r="G133" s="63" t="n"/>
      <c r="H133" s="63" t="n"/>
      <c r="I133" s="62">
        <f>D133+0.03</f>
        <v/>
      </c>
      <c r="J133" s="62">
        <f>E133+0.03</f>
        <v/>
      </c>
      <c r="K133" s="64">
        <f>B133*I133*J133</f>
        <v/>
      </c>
      <c r="L133" s="60" t="n">
        <v>190</v>
      </c>
      <c r="M133" s="65">
        <f>K133*L133</f>
        <v/>
      </c>
      <c r="N133" s="66">
        <f>B133*2</f>
        <v/>
      </c>
      <c r="O133" s="65">
        <f>M133+N133</f>
        <v/>
      </c>
      <c r="P133" s="62">
        <f>K133*7.12</f>
        <v/>
      </c>
      <c r="Q133" s="63" t="inlineStr">
        <is>
          <t>Dak</t>
        </is>
      </c>
      <c r="R133" s="59" t="inlineStr">
        <is>
          <t>10-06-2026</t>
        </is>
      </c>
      <c r="S133" s="59" t="inlineStr">
        <is>
          <t>Peter</t>
        </is>
      </c>
      <c r="T133" s="63" t="inlineStr">
        <is>
          <t>N/A</t>
        </is>
      </c>
      <c r="U133" s="63" t="inlineStr">
        <is>
          <t>N/A</t>
        </is>
      </c>
    </row>
    <row r="134">
      <c r="A134" s="42" t="inlineStr">
        <is>
          <t>Lostock Fabric</t>
        </is>
      </c>
      <c r="B134" s="43" t="n">
        <v>8</v>
      </c>
      <c r="C134" s="55" t="n">
        <v>48</v>
      </c>
      <c r="D134" s="45" t="n">
        <v>0.55</v>
      </c>
      <c r="E134" s="45" t="n">
        <v>0.29</v>
      </c>
      <c r="F134" s="56" t="n"/>
      <c r="G134" s="56" t="n"/>
      <c r="H134" s="56" t="n"/>
      <c r="I134" s="45">
        <f>D134+0.03</f>
        <v/>
      </c>
      <c r="J134" s="45">
        <f>E134+0.03</f>
        <v/>
      </c>
      <c r="K134" s="44">
        <f>B134*I134*J134</f>
        <v/>
      </c>
      <c r="L134" s="43" t="n">
        <v>190</v>
      </c>
      <c r="M134" s="57">
        <f>K134*L134</f>
        <v/>
      </c>
      <c r="N134" s="58">
        <f>B134*2</f>
        <v/>
      </c>
      <c r="O134" s="57">
        <f>M134+N134</f>
        <v/>
      </c>
      <c r="P134" s="45">
        <f>K134*7.12</f>
        <v/>
      </c>
      <c r="Q134" s="56" t="inlineStr">
        <is>
          <t>Dak</t>
        </is>
      </c>
      <c r="R134" s="42" t="inlineStr">
        <is>
          <t>10-06-2026</t>
        </is>
      </c>
      <c r="S134" s="42" t="inlineStr">
        <is>
          <t>Peter</t>
        </is>
      </c>
      <c r="T134" s="56" t="inlineStr">
        <is>
          <t>N/A</t>
        </is>
      </c>
      <c r="U134" s="56" t="inlineStr">
        <is>
          <t>N/A</t>
        </is>
      </c>
    </row>
    <row r="135">
      <c r="A135" s="59" t="inlineStr">
        <is>
          <t>Lostock Fabric</t>
        </is>
      </c>
      <c r="B135" s="60" t="n">
        <v>8</v>
      </c>
      <c r="C135" s="61" t="n">
        <v>49</v>
      </c>
      <c r="D135" s="62" t="n">
        <v>0.78</v>
      </c>
      <c r="E135" s="62" t="n">
        <v>0.33</v>
      </c>
      <c r="F135" s="63" t="n"/>
      <c r="G135" s="63" t="n"/>
      <c r="H135" s="63" t="n"/>
      <c r="I135" s="62">
        <f>D135+0.03</f>
        <v/>
      </c>
      <c r="J135" s="62">
        <f>E135+0.03</f>
        <v/>
      </c>
      <c r="K135" s="64">
        <f>B135*I135*J135</f>
        <v/>
      </c>
      <c r="L135" s="60" t="n">
        <v>190</v>
      </c>
      <c r="M135" s="65">
        <f>K135*L135</f>
        <v/>
      </c>
      <c r="N135" s="66">
        <f>B135*2</f>
        <v/>
      </c>
      <c r="O135" s="65">
        <f>M135+N135</f>
        <v/>
      </c>
      <c r="P135" s="62">
        <f>K135*7.12</f>
        <v/>
      </c>
      <c r="Q135" s="63" t="inlineStr">
        <is>
          <t>Dak</t>
        </is>
      </c>
      <c r="R135" s="59" t="inlineStr">
        <is>
          <t>10-06-2026</t>
        </is>
      </c>
      <c r="S135" s="59" t="inlineStr">
        <is>
          <t>Peter</t>
        </is>
      </c>
      <c r="T135" s="63" t="inlineStr">
        <is>
          <t>N/A</t>
        </is>
      </c>
      <c r="U135" s="63" t="inlineStr">
        <is>
          <t>N/A</t>
        </is>
      </c>
    </row>
    <row r="136">
      <c r="A136" s="42" t="inlineStr">
        <is>
          <t>Lostock Fabric</t>
        </is>
      </c>
      <c r="B136" s="43" t="n">
        <v>8</v>
      </c>
      <c r="C136" s="55" t="n">
        <v>49</v>
      </c>
      <c r="D136" s="45" t="n">
        <v>0.25</v>
      </c>
      <c r="E136" s="45" t="n">
        <v>0.25</v>
      </c>
      <c r="F136" s="56" t="n"/>
      <c r="G136" s="56" t="n"/>
      <c r="H136" s="56" t="n"/>
      <c r="I136" s="45">
        <f>D136+0.03</f>
        <v/>
      </c>
      <c r="J136" s="45">
        <f>E136+0.03</f>
        <v/>
      </c>
      <c r="K136" s="44">
        <f>B136*I136*J136</f>
        <v/>
      </c>
      <c r="L136" s="43" t="n">
        <v>190</v>
      </c>
      <c r="M136" s="57">
        <f>K136*L136</f>
        <v/>
      </c>
      <c r="N136" s="58">
        <f>B136*2</f>
        <v/>
      </c>
      <c r="O136" s="57">
        <f>M136+N136</f>
        <v/>
      </c>
      <c r="P136" s="45">
        <f>K136*7.12</f>
        <v/>
      </c>
      <c r="Q136" s="56" t="inlineStr">
        <is>
          <t>Dak</t>
        </is>
      </c>
      <c r="R136" s="42" t="inlineStr">
        <is>
          <t>10-06-2026</t>
        </is>
      </c>
      <c r="S136" s="42" t="inlineStr">
        <is>
          <t>Peter</t>
        </is>
      </c>
      <c r="T136" s="56" t="inlineStr">
        <is>
          <t>N/A</t>
        </is>
      </c>
      <c r="U136" s="56" t="inlineStr">
        <is>
          <t>N/A</t>
        </is>
      </c>
    </row>
    <row r="137">
      <c r="A137" s="59" t="inlineStr">
        <is>
          <t>Lostock Fabric</t>
        </is>
      </c>
      <c r="B137" s="60" t="n">
        <v>2</v>
      </c>
      <c r="C137" s="61" t="n">
        <v>50</v>
      </c>
      <c r="D137" s="62" t="n">
        <v>1.42</v>
      </c>
      <c r="E137" s="62" t="n">
        <v>0.52</v>
      </c>
      <c r="F137" s="63" t="n"/>
      <c r="G137" s="63" t="n"/>
      <c r="H137" s="63" t="n"/>
      <c r="I137" s="62">
        <f>D137+0.03</f>
        <v/>
      </c>
      <c r="J137" s="62">
        <f>E137+0.03</f>
        <v/>
      </c>
      <c r="K137" s="64">
        <f>B137*I137*J137</f>
        <v/>
      </c>
      <c r="L137" s="60" t="n">
        <v>190</v>
      </c>
      <c r="M137" s="65">
        <f>K137*L137</f>
        <v/>
      </c>
      <c r="N137" s="66">
        <f>B137*2</f>
        <v/>
      </c>
      <c r="O137" s="65">
        <f>M137+N137</f>
        <v/>
      </c>
      <c r="P137" s="62">
        <f>K137*7.12</f>
        <v/>
      </c>
      <c r="Q137" s="63" t="inlineStr">
        <is>
          <t>Dak</t>
        </is>
      </c>
      <c r="R137" s="59" t="inlineStr">
        <is>
          <t>10-06-2026</t>
        </is>
      </c>
      <c r="S137" s="59" t="inlineStr">
        <is>
          <t>Peter</t>
        </is>
      </c>
      <c r="T137" s="63" t="inlineStr">
        <is>
          <t>N/A</t>
        </is>
      </c>
      <c r="U137" s="63" t="inlineStr">
        <is>
          <t>N/A</t>
        </is>
      </c>
    </row>
    <row r="138">
      <c r="A138" s="42" t="inlineStr">
        <is>
          <t>Lostock Fabric</t>
        </is>
      </c>
      <c r="B138" s="43" t="n">
        <v>2</v>
      </c>
      <c r="C138" s="55" t="n">
        <v>50</v>
      </c>
      <c r="D138" s="45" t="n">
        <v>0.45</v>
      </c>
      <c r="E138" s="45" t="n">
        <v>0.45</v>
      </c>
      <c r="F138" s="56" t="n"/>
      <c r="G138" s="56" t="n"/>
      <c r="H138" s="56" t="n"/>
      <c r="I138" s="45">
        <f>D138+0.03</f>
        <v/>
      </c>
      <c r="J138" s="45">
        <f>E138+0.03</f>
        <v/>
      </c>
      <c r="K138" s="44">
        <f>B138*I138*J138</f>
        <v/>
      </c>
      <c r="L138" s="43" t="n">
        <v>190</v>
      </c>
      <c r="M138" s="57">
        <f>K138*L138</f>
        <v/>
      </c>
      <c r="N138" s="58">
        <f>B138*2</f>
        <v/>
      </c>
      <c r="O138" s="57">
        <f>M138+N138</f>
        <v/>
      </c>
      <c r="P138" s="45">
        <f>K138*7.12</f>
        <v/>
      </c>
      <c r="Q138" s="56" t="inlineStr">
        <is>
          <t>Dak</t>
        </is>
      </c>
      <c r="R138" s="42" t="inlineStr">
        <is>
          <t>10-06-2026</t>
        </is>
      </c>
      <c r="S138" s="42" t="inlineStr">
        <is>
          <t>Peter</t>
        </is>
      </c>
      <c r="T138" s="56" t="inlineStr">
        <is>
          <t>N/A</t>
        </is>
      </c>
      <c r="U138" s="56" t="inlineStr">
        <is>
          <t>N/A</t>
        </is>
      </c>
    </row>
    <row r="139">
      <c r="A139" s="59" t="inlineStr">
        <is>
          <t>Lostock Fabric</t>
        </is>
      </c>
      <c r="B139" s="60" t="n">
        <v>2</v>
      </c>
      <c r="C139" s="61" t="n">
        <v>51</v>
      </c>
      <c r="D139" s="62" t="n">
        <v>1.76</v>
      </c>
      <c r="E139" s="62" t="n">
        <v>0.8100000000000001</v>
      </c>
      <c r="F139" s="63" t="n"/>
      <c r="G139" s="63" t="n"/>
      <c r="H139" s="63" t="n"/>
      <c r="I139" s="62">
        <f>D139+0.03</f>
        <v/>
      </c>
      <c r="J139" s="62">
        <f>E139+0.03</f>
        <v/>
      </c>
      <c r="K139" s="64">
        <f>B139*I139*J139</f>
        <v/>
      </c>
      <c r="L139" s="60" t="n">
        <v>190</v>
      </c>
      <c r="M139" s="65">
        <f>K139*L139</f>
        <v/>
      </c>
      <c r="N139" s="66">
        <f>B139*2</f>
        <v/>
      </c>
      <c r="O139" s="65">
        <f>M139+N139</f>
        <v/>
      </c>
      <c r="P139" s="62">
        <f>K139*7.12</f>
        <v/>
      </c>
      <c r="Q139" s="63" t="inlineStr">
        <is>
          <t>Dak</t>
        </is>
      </c>
      <c r="R139" s="59" t="inlineStr">
        <is>
          <t>10-06-2026</t>
        </is>
      </c>
      <c r="S139" s="59" t="inlineStr">
        <is>
          <t>Peter</t>
        </is>
      </c>
      <c r="T139" s="63" t="inlineStr">
        <is>
          <t>N/A</t>
        </is>
      </c>
      <c r="U139" s="63" t="inlineStr">
        <is>
          <t>N/A</t>
        </is>
      </c>
    </row>
    <row r="140">
      <c r="A140" s="42" t="inlineStr">
        <is>
          <t>Lostock Fabric</t>
        </is>
      </c>
      <c r="B140" s="43" t="n">
        <v>2</v>
      </c>
      <c r="C140" s="55" t="n">
        <v>51</v>
      </c>
      <c r="D140" s="45" t="n">
        <v>0.5600000000000001</v>
      </c>
      <c r="E140" s="45" t="n">
        <v>0.5600000000000001</v>
      </c>
      <c r="F140" s="56" t="n"/>
      <c r="G140" s="56" t="n"/>
      <c r="H140" s="56" t="n"/>
      <c r="I140" s="45">
        <f>D140+0.03</f>
        <v/>
      </c>
      <c r="J140" s="45">
        <f>E140+0.03</f>
        <v/>
      </c>
      <c r="K140" s="44">
        <f>B140*I140*J140</f>
        <v/>
      </c>
      <c r="L140" s="43" t="n">
        <v>190</v>
      </c>
      <c r="M140" s="57">
        <f>K140*L140</f>
        <v/>
      </c>
      <c r="N140" s="58">
        <f>B140*2</f>
        <v/>
      </c>
      <c r="O140" s="57">
        <f>M140+N140</f>
        <v/>
      </c>
      <c r="P140" s="45">
        <f>K140*7.12</f>
        <v/>
      </c>
      <c r="Q140" s="56" t="inlineStr">
        <is>
          <t>Dak</t>
        </is>
      </c>
      <c r="R140" s="42" t="inlineStr">
        <is>
          <t>10-06-2026</t>
        </is>
      </c>
      <c r="S140" s="42" t="inlineStr">
        <is>
          <t>Peter</t>
        </is>
      </c>
      <c r="T140" s="56" t="inlineStr">
        <is>
          <t>N/A</t>
        </is>
      </c>
      <c r="U140" s="56" t="inlineStr">
        <is>
          <t>N/A</t>
        </is>
      </c>
    </row>
    <row r="141">
      <c r="A141" s="59" t="inlineStr">
        <is>
          <t>Lostock Fabric</t>
        </is>
      </c>
      <c r="B141" s="60" t="n">
        <v>2</v>
      </c>
      <c r="C141" s="61" t="n">
        <v>52</v>
      </c>
      <c r="D141" s="62" t="n">
        <v>1.3</v>
      </c>
      <c r="E141" s="62" t="n">
        <v>0.41</v>
      </c>
      <c r="F141" s="63" t="n"/>
      <c r="G141" s="63" t="n"/>
      <c r="H141" s="63" t="n"/>
      <c r="I141" s="62">
        <f>D141+0.03</f>
        <v/>
      </c>
      <c r="J141" s="62">
        <f>E141+0.03</f>
        <v/>
      </c>
      <c r="K141" s="64">
        <f>B141*I141*J141</f>
        <v/>
      </c>
      <c r="L141" s="60" t="n">
        <v>190</v>
      </c>
      <c r="M141" s="65">
        <f>K141*L141</f>
        <v/>
      </c>
      <c r="N141" s="66">
        <f>B141*2</f>
        <v/>
      </c>
      <c r="O141" s="65">
        <f>M141+N141</f>
        <v/>
      </c>
      <c r="P141" s="62">
        <f>K141*7.12</f>
        <v/>
      </c>
      <c r="Q141" s="63" t="inlineStr">
        <is>
          <t>Dak</t>
        </is>
      </c>
      <c r="R141" s="59" t="inlineStr">
        <is>
          <t>10-06-2026</t>
        </is>
      </c>
      <c r="S141" s="59" t="inlineStr">
        <is>
          <t>Peter</t>
        </is>
      </c>
      <c r="T141" s="63" t="inlineStr">
        <is>
          <t>N/A</t>
        </is>
      </c>
      <c r="U141" s="63" t="inlineStr">
        <is>
          <t>N/A</t>
        </is>
      </c>
    </row>
    <row r="142">
      <c r="A142" s="42" t="inlineStr">
        <is>
          <t>Lostock Fabric</t>
        </is>
      </c>
      <c r="B142" s="43" t="n">
        <v>2</v>
      </c>
      <c r="C142" s="55" t="n">
        <v>53</v>
      </c>
      <c r="D142" s="45" t="n">
        <v>1.71</v>
      </c>
      <c r="E142" s="45" t="n">
        <v>0.71</v>
      </c>
      <c r="F142" s="56" t="n"/>
      <c r="G142" s="56" t="n"/>
      <c r="H142" s="56" t="n"/>
      <c r="I142" s="45">
        <f>D142+0.03</f>
        <v/>
      </c>
      <c r="J142" s="45">
        <f>E142+0.03</f>
        <v/>
      </c>
      <c r="K142" s="44">
        <f>B142*I142*J142</f>
        <v/>
      </c>
      <c r="L142" s="43" t="n">
        <v>190</v>
      </c>
      <c r="M142" s="57">
        <f>K142*L142</f>
        <v/>
      </c>
      <c r="N142" s="58">
        <f>B142*2</f>
        <v/>
      </c>
      <c r="O142" s="57">
        <f>M142+N142</f>
        <v/>
      </c>
      <c r="P142" s="45">
        <f>K142*7.12</f>
        <v/>
      </c>
      <c r="Q142" s="56" t="inlineStr">
        <is>
          <t>Dak</t>
        </is>
      </c>
      <c r="R142" s="42" t="inlineStr">
        <is>
          <t>10-06-2026</t>
        </is>
      </c>
      <c r="S142" s="42" t="inlineStr">
        <is>
          <t>Peter</t>
        </is>
      </c>
      <c r="T142" s="56" t="inlineStr">
        <is>
          <t>N/A</t>
        </is>
      </c>
      <c r="U142" s="56" t="inlineStr">
        <is>
          <t>N/A</t>
        </is>
      </c>
    </row>
    <row r="143">
      <c r="A143" s="59" t="inlineStr">
        <is>
          <t>Lostock Fabric</t>
        </is>
      </c>
      <c r="B143" s="60" t="n">
        <v>2</v>
      </c>
      <c r="C143" s="61" t="n">
        <v>54</v>
      </c>
      <c r="D143" s="62" t="n">
        <v>1.92</v>
      </c>
      <c r="E143" s="62" t="n">
        <v>0.95</v>
      </c>
      <c r="F143" s="63" t="n"/>
      <c r="G143" s="63" t="n"/>
      <c r="H143" s="63" t="n"/>
      <c r="I143" s="62">
        <f>D143+0.03</f>
        <v/>
      </c>
      <c r="J143" s="62">
        <f>E143+0.03</f>
        <v/>
      </c>
      <c r="K143" s="64">
        <f>B143*I143*J143</f>
        <v/>
      </c>
      <c r="L143" s="60" t="n">
        <v>190</v>
      </c>
      <c r="M143" s="65">
        <f>K143*L143</f>
        <v/>
      </c>
      <c r="N143" s="66">
        <f>B143*2</f>
        <v/>
      </c>
      <c r="O143" s="65">
        <f>M143+N143</f>
        <v/>
      </c>
      <c r="P143" s="62">
        <f>K143*7.12</f>
        <v/>
      </c>
      <c r="Q143" s="63" t="inlineStr">
        <is>
          <t>Dak</t>
        </is>
      </c>
      <c r="R143" s="59" t="inlineStr">
        <is>
          <t>10-06-2026</t>
        </is>
      </c>
      <c r="S143" s="59" t="inlineStr">
        <is>
          <t>Peter</t>
        </is>
      </c>
      <c r="T143" s="63" t="inlineStr">
        <is>
          <t>N/A</t>
        </is>
      </c>
      <c r="U143" s="63" t="inlineStr">
        <is>
          <t>N/A</t>
        </is>
      </c>
    </row>
    <row r="144">
      <c r="A144" s="42" t="inlineStr">
        <is>
          <t>Lostock Fabric</t>
        </is>
      </c>
      <c r="B144" s="43" t="n">
        <v>2</v>
      </c>
      <c r="C144" s="55" t="n">
        <v>55</v>
      </c>
      <c r="D144" s="45" t="n">
        <v>1.38</v>
      </c>
      <c r="E144" s="45" t="n">
        <v>0.9</v>
      </c>
      <c r="F144" s="56" t="n"/>
      <c r="G144" s="56" t="n"/>
      <c r="H144" s="56" t="n"/>
      <c r="I144" s="45">
        <f>D144+0.03</f>
        <v/>
      </c>
      <c r="J144" s="45">
        <f>E144+0.03</f>
        <v/>
      </c>
      <c r="K144" s="44">
        <f>B144*I144*J144</f>
        <v/>
      </c>
      <c r="L144" s="43" t="n">
        <v>190</v>
      </c>
      <c r="M144" s="57">
        <f>K144*L144</f>
        <v/>
      </c>
      <c r="N144" s="58">
        <f>B144*2</f>
        <v/>
      </c>
      <c r="O144" s="57">
        <f>M144+N144</f>
        <v/>
      </c>
      <c r="P144" s="45">
        <f>K144*7.12</f>
        <v/>
      </c>
      <c r="Q144" s="56" t="inlineStr">
        <is>
          <t>Dak</t>
        </is>
      </c>
      <c r="R144" s="42" t="inlineStr">
        <is>
          <t>10-06-2026</t>
        </is>
      </c>
      <c r="S144" s="42" t="inlineStr">
        <is>
          <t>Peter</t>
        </is>
      </c>
      <c r="T144" s="56" t="inlineStr">
        <is>
          <t>N/A</t>
        </is>
      </c>
      <c r="U144" s="56" t="inlineStr">
        <is>
          <t>N/A</t>
        </is>
      </c>
    </row>
    <row r="145">
      <c r="A145" s="59" t="inlineStr">
        <is>
          <t>Lostock Fabric</t>
        </is>
      </c>
      <c r="B145" s="60" t="n">
        <v>2</v>
      </c>
      <c r="C145" s="61" t="n">
        <v>56</v>
      </c>
      <c r="D145" s="62" t="n">
        <v>1.17</v>
      </c>
      <c r="E145" s="62" t="n">
        <v>0.17</v>
      </c>
      <c r="F145" s="63" t="n"/>
      <c r="G145" s="63" t="n"/>
      <c r="H145" s="63" t="n"/>
      <c r="I145" s="62">
        <f>D145+0.03</f>
        <v/>
      </c>
      <c r="J145" s="62">
        <f>E145+0.03</f>
        <v/>
      </c>
      <c r="K145" s="64">
        <f>B145*I145*J145</f>
        <v/>
      </c>
      <c r="L145" s="60" t="n">
        <v>190</v>
      </c>
      <c r="M145" s="65">
        <f>K145*L145</f>
        <v/>
      </c>
      <c r="N145" s="66">
        <f>B145*2</f>
        <v/>
      </c>
      <c r="O145" s="65">
        <f>M145+N145</f>
        <v/>
      </c>
      <c r="P145" s="62">
        <f>K145*7.12</f>
        <v/>
      </c>
      <c r="Q145" s="63" t="inlineStr">
        <is>
          <t>Dak</t>
        </is>
      </c>
      <c r="R145" s="59" t="inlineStr">
        <is>
          <t>10-06-2026</t>
        </is>
      </c>
      <c r="S145" s="59" t="inlineStr">
        <is>
          <t>Peter</t>
        </is>
      </c>
      <c r="T145" s="63" t="inlineStr">
        <is>
          <t>N/A</t>
        </is>
      </c>
      <c r="U145" s="63" t="inlineStr">
        <is>
          <t>N/A</t>
        </is>
      </c>
    </row>
    <row r="146">
      <c r="A146" s="42" t="inlineStr">
        <is>
          <t>Lostock Fabric</t>
        </is>
      </c>
      <c r="B146" s="43" t="n">
        <v>2</v>
      </c>
      <c r="C146" s="55" t="n">
        <v>56</v>
      </c>
      <c r="D146" s="45" t="n">
        <v>0.37</v>
      </c>
      <c r="E146" s="45" t="n">
        <v>0.37</v>
      </c>
      <c r="F146" s="56" t="n"/>
      <c r="G146" s="56" t="n"/>
      <c r="H146" s="56" t="n"/>
      <c r="I146" s="45">
        <f>D146+0.03</f>
        <v/>
      </c>
      <c r="J146" s="45">
        <f>E146+0.03</f>
        <v/>
      </c>
      <c r="K146" s="44">
        <f>B146*I146*J146</f>
        <v/>
      </c>
      <c r="L146" s="43" t="n">
        <v>190</v>
      </c>
      <c r="M146" s="57">
        <f>K146*L146</f>
        <v/>
      </c>
      <c r="N146" s="58">
        <f>B146*2</f>
        <v/>
      </c>
      <c r="O146" s="57">
        <f>M146+N146</f>
        <v/>
      </c>
      <c r="P146" s="45">
        <f>K146*7.12</f>
        <v/>
      </c>
      <c r="Q146" s="56" t="inlineStr">
        <is>
          <t>Dak</t>
        </is>
      </c>
      <c r="R146" s="42" t="inlineStr">
        <is>
          <t>10-06-2026</t>
        </is>
      </c>
      <c r="S146" s="42" t="inlineStr">
        <is>
          <t>Peter</t>
        </is>
      </c>
      <c r="T146" s="56" t="inlineStr">
        <is>
          <t>N/A</t>
        </is>
      </c>
      <c r="U146" s="56" t="inlineStr">
        <is>
          <t>N/A</t>
        </is>
      </c>
    </row>
    <row r="147">
      <c r="A147" s="59" t="inlineStr">
        <is>
          <t>Lostock Fabric</t>
        </is>
      </c>
      <c r="B147" s="60" t="n">
        <v>4</v>
      </c>
      <c r="C147" s="61" t="n">
        <v>57</v>
      </c>
      <c r="D147" s="62" t="n">
        <v>0.42</v>
      </c>
      <c r="E147" s="62" t="n">
        <v>0.37</v>
      </c>
      <c r="F147" s="63" t="n"/>
      <c r="G147" s="63" t="n"/>
      <c r="H147" s="63" t="n"/>
      <c r="I147" s="62">
        <f>D147+0.03</f>
        <v/>
      </c>
      <c r="J147" s="62">
        <f>E147+0.03</f>
        <v/>
      </c>
      <c r="K147" s="64">
        <f>B147*I147*J147</f>
        <v/>
      </c>
      <c r="L147" s="60" t="n">
        <v>190</v>
      </c>
      <c r="M147" s="65">
        <f>K147*L147</f>
        <v/>
      </c>
      <c r="N147" s="66">
        <f>B147*2</f>
        <v/>
      </c>
      <c r="O147" s="65">
        <f>M147+N147</f>
        <v/>
      </c>
      <c r="P147" s="62">
        <f>K147*7.12</f>
        <v/>
      </c>
      <c r="Q147" s="63" t="inlineStr">
        <is>
          <t>Dak</t>
        </is>
      </c>
      <c r="R147" s="59" t="inlineStr">
        <is>
          <t>10-06-2026</t>
        </is>
      </c>
      <c r="S147" s="59" t="inlineStr">
        <is>
          <t>Peter</t>
        </is>
      </c>
      <c r="T147" s="63" t="inlineStr">
        <is>
          <t>N/A</t>
        </is>
      </c>
      <c r="U147" s="63" t="inlineStr">
        <is>
          <t>N/A</t>
        </is>
      </c>
    </row>
    <row r="148">
      <c r="A148" s="42" t="inlineStr">
        <is>
          <t>Lostock Fabric</t>
        </is>
      </c>
      <c r="B148" s="43" t="n">
        <v>4</v>
      </c>
      <c r="C148" s="55" t="n">
        <v>57</v>
      </c>
      <c r="D148" s="45" t="n">
        <v>0.13</v>
      </c>
      <c r="E148" s="45" t="n">
        <v>0.13</v>
      </c>
      <c r="F148" s="56" t="n"/>
      <c r="G148" s="56" t="n"/>
      <c r="H148" s="56" t="n"/>
      <c r="I148" s="45">
        <f>D148+0.03</f>
        <v/>
      </c>
      <c r="J148" s="45">
        <f>E148+0.03</f>
        <v/>
      </c>
      <c r="K148" s="44">
        <f>B148*I148*J148</f>
        <v/>
      </c>
      <c r="L148" s="43" t="n">
        <v>190</v>
      </c>
      <c r="M148" s="57">
        <f>K148*L148</f>
        <v/>
      </c>
      <c r="N148" s="58">
        <f>B148*2</f>
        <v/>
      </c>
      <c r="O148" s="57">
        <f>M148+N148</f>
        <v/>
      </c>
      <c r="P148" s="45">
        <f>K148*7.12</f>
        <v/>
      </c>
      <c r="Q148" s="56" t="inlineStr">
        <is>
          <t>Dak</t>
        </is>
      </c>
      <c r="R148" s="42" t="inlineStr">
        <is>
          <t>10-06-2026</t>
        </is>
      </c>
      <c r="S148" s="42" t="inlineStr">
        <is>
          <t>Peter</t>
        </is>
      </c>
      <c r="T148" s="56" t="inlineStr">
        <is>
          <t>N/A</t>
        </is>
      </c>
      <c r="U148" s="56" t="inlineStr">
        <is>
          <t>N/A</t>
        </is>
      </c>
    </row>
    <row r="149">
      <c r="A149" s="59" t="inlineStr">
        <is>
          <t>Lostock Fabric</t>
        </is>
      </c>
      <c r="B149" s="60" t="n">
        <v>2</v>
      </c>
      <c r="C149" s="61" t="n">
        <v>58</v>
      </c>
      <c r="D149" s="62" t="n">
        <v>0.32</v>
      </c>
      <c r="E149" s="62" t="n">
        <v>0.15</v>
      </c>
      <c r="F149" s="63" t="n"/>
      <c r="G149" s="63" t="n"/>
      <c r="H149" s="63" t="n"/>
      <c r="I149" s="62">
        <f>D149+0.03</f>
        <v/>
      </c>
      <c r="J149" s="62">
        <f>E149+0.03</f>
        <v/>
      </c>
      <c r="K149" s="64">
        <f>B149*I149*J149</f>
        <v/>
      </c>
      <c r="L149" s="60" t="n">
        <v>190</v>
      </c>
      <c r="M149" s="65">
        <f>K149*L149</f>
        <v/>
      </c>
      <c r="N149" s="66">
        <f>B149*2</f>
        <v/>
      </c>
      <c r="O149" s="65">
        <f>M149+N149</f>
        <v/>
      </c>
      <c r="P149" s="62">
        <f>K149*7.12</f>
        <v/>
      </c>
      <c r="Q149" s="63" t="inlineStr">
        <is>
          <t>Dak</t>
        </is>
      </c>
      <c r="R149" s="59" t="inlineStr">
        <is>
          <t>10-06-2026</t>
        </is>
      </c>
      <c r="S149" s="59" t="inlineStr">
        <is>
          <t>Peter</t>
        </is>
      </c>
      <c r="T149" s="63" t="inlineStr">
        <is>
          <t>N/A</t>
        </is>
      </c>
      <c r="U149" s="63" t="inlineStr">
        <is>
          <t>N/A</t>
        </is>
      </c>
    </row>
    <row r="150">
      <c r="A150" s="42" t="inlineStr">
        <is>
          <t>Lostock Fabric</t>
        </is>
      </c>
      <c r="B150" s="43" t="n">
        <v>2</v>
      </c>
      <c r="C150" s="55" t="n">
        <v>59</v>
      </c>
      <c r="D150" s="45" t="n">
        <v>0.32</v>
      </c>
      <c r="E150" s="45" t="n">
        <v>0.37</v>
      </c>
      <c r="F150" s="56" t="n"/>
      <c r="G150" s="56" t="n"/>
      <c r="H150" s="56" t="n"/>
      <c r="I150" s="45">
        <f>D150+0.03</f>
        <v/>
      </c>
      <c r="J150" s="45">
        <f>E150+0.03</f>
        <v/>
      </c>
      <c r="K150" s="44">
        <f>B150*I150*J150</f>
        <v/>
      </c>
      <c r="L150" s="43" t="n">
        <v>190</v>
      </c>
      <c r="M150" s="57">
        <f>K150*L150</f>
        <v/>
      </c>
      <c r="N150" s="58">
        <f>B150*2</f>
        <v/>
      </c>
      <c r="O150" s="57">
        <f>M150+N150</f>
        <v/>
      </c>
      <c r="P150" s="45">
        <f>K150*7.12</f>
        <v/>
      </c>
      <c r="Q150" s="56" t="inlineStr">
        <is>
          <t>Dak</t>
        </is>
      </c>
      <c r="R150" s="42" t="inlineStr">
        <is>
          <t>10-06-2026</t>
        </is>
      </c>
      <c r="S150" s="42" t="inlineStr">
        <is>
          <t>Peter</t>
        </is>
      </c>
      <c r="T150" s="56" t="inlineStr">
        <is>
          <t>N/A</t>
        </is>
      </c>
      <c r="U150" s="56" t="inlineStr">
        <is>
          <t>N/A</t>
        </is>
      </c>
    </row>
    <row r="151">
      <c r="A151" s="59" t="inlineStr">
        <is>
          <t>Lostock Fabric</t>
        </is>
      </c>
      <c r="B151" s="60" t="n">
        <v>2</v>
      </c>
      <c r="C151" s="61" t="n">
        <v>60</v>
      </c>
      <c r="D151" s="62" t="n">
        <v>0.57</v>
      </c>
      <c r="E151" s="62" t="n">
        <v>0.22</v>
      </c>
      <c r="F151" s="63" t="n"/>
      <c r="G151" s="63" t="n"/>
      <c r="H151" s="63" t="n"/>
      <c r="I151" s="62">
        <f>D151+0.03</f>
        <v/>
      </c>
      <c r="J151" s="62">
        <f>E151+0.03</f>
        <v/>
      </c>
      <c r="K151" s="64">
        <f>B151*I151*J151</f>
        <v/>
      </c>
      <c r="L151" s="60" t="n">
        <v>190</v>
      </c>
      <c r="M151" s="65">
        <f>K151*L151</f>
        <v/>
      </c>
      <c r="N151" s="66">
        <f>B151*2</f>
        <v/>
      </c>
      <c r="O151" s="65">
        <f>M151+N151</f>
        <v/>
      </c>
      <c r="P151" s="62">
        <f>K151*7.12</f>
        <v/>
      </c>
      <c r="Q151" s="63" t="inlineStr">
        <is>
          <t>Dak</t>
        </is>
      </c>
      <c r="R151" s="59" t="inlineStr">
        <is>
          <t>10-06-2026</t>
        </is>
      </c>
      <c r="S151" s="59" t="inlineStr">
        <is>
          <t>Peter</t>
        </is>
      </c>
      <c r="T151" s="63" t="inlineStr">
        <is>
          <t>N/A</t>
        </is>
      </c>
      <c r="U151" s="63" t="inlineStr">
        <is>
          <t>N/A</t>
        </is>
      </c>
    </row>
    <row r="152">
      <c r="A152" s="42" t="inlineStr">
        <is>
          <t>Lostock Fabric</t>
        </is>
      </c>
      <c r="B152" s="43" t="n">
        <v>2</v>
      </c>
      <c r="C152" s="55" t="n">
        <v>61</v>
      </c>
      <c r="D152" s="45" t="n">
        <v>0.65</v>
      </c>
      <c r="E152" s="45" t="n">
        <v>0.47</v>
      </c>
      <c r="F152" s="56" t="n"/>
      <c r="G152" s="56" t="n"/>
      <c r="H152" s="56" t="n"/>
      <c r="I152" s="45">
        <f>D152+0.03</f>
        <v/>
      </c>
      <c r="J152" s="45">
        <f>E152+0.03</f>
        <v/>
      </c>
      <c r="K152" s="44">
        <f>B152*I152*J152</f>
        <v/>
      </c>
      <c r="L152" s="43" t="n">
        <v>190</v>
      </c>
      <c r="M152" s="57">
        <f>K152*L152</f>
        <v/>
      </c>
      <c r="N152" s="58">
        <f>B152*2</f>
        <v/>
      </c>
      <c r="O152" s="57">
        <f>M152+N152</f>
        <v/>
      </c>
      <c r="P152" s="45">
        <f>K152*7.12</f>
        <v/>
      </c>
      <c r="Q152" s="56" t="inlineStr">
        <is>
          <t>Dak</t>
        </is>
      </c>
      <c r="R152" s="42" t="inlineStr">
        <is>
          <t>10-06-2026</t>
        </is>
      </c>
      <c r="S152" s="42" t="inlineStr">
        <is>
          <t>Peter</t>
        </is>
      </c>
      <c r="T152" s="56" t="inlineStr">
        <is>
          <t>be</t>
        </is>
      </c>
      <c r="U152" s="56" t="inlineStr">
        <is>
          <t>N/A</t>
        </is>
      </c>
    </row>
    <row r="153">
      <c r="A153" s="59" t="inlineStr">
        <is>
          <t>Lostock Fabric</t>
        </is>
      </c>
      <c r="B153" s="60" t="n">
        <v>2</v>
      </c>
      <c r="C153" s="61" t="n">
        <v>61</v>
      </c>
      <c r="D153" s="62" t="n">
        <v>0.2</v>
      </c>
      <c r="E153" s="62" t="n">
        <v>0.2</v>
      </c>
      <c r="F153" s="63" t="n"/>
      <c r="G153" s="63" t="n"/>
      <c r="H153" s="63" t="n"/>
      <c r="I153" s="62">
        <f>D153+0.03</f>
        <v/>
      </c>
      <c r="J153" s="62">
        <f>E153+0.03</f>
        <v/>
      </c>
      <c r="K153" s="64">
        <f>B153*I153*J153</f>
        <v/>
      </c>
      <c r="L153" s="60" t="n">
        <v>190</v>
      </c>
      <c r="M153" s="65">
        <f>K153*L153</f>
        <v/>
      </c>
      <c r="N153" s="66">
        <f>B153*2</f>
        <v/>
      </c>
      <c r="O153" s="65">
        <f>M153+N153</f>
        <v/>
      </c>
      <c r="P153" s="62">
        <f>K153*7.12</f>
        <v/>
      </c>
      <c r="Q153" s="63" t="inlineStr">
        <is>
          <t>Dak</t>
        </is>
      </c>
      <c r="R153" s="59" t="inlineStr">
        <is>
          <t>10-06-2026</t>
        </is>
      </c>
      <c r="S153" s="59" t="inlineStr">
        <is>
          <t>Peter</t>
        </is>
      </c>
      <c r="T153" s="63" t="inlineStr">
        <is>
          <t>be</t>
        </is>
      </c>
      <c r="U153" s="63" t="inlineStr">
        <is>
          <t>N/A</t>
        </is>
      </c>
    </row>
    <row r="154">
      <c r="A154" s="42" t="inlineStr">
        <is>
          <t>Lostock Fabric</t>
        </is>
      </c>
      <c r="B154" s="43" t="n">
        <v>4</v>
      </c>
      <c r="C154" s="55" t="n">
        <v>62</v>
      </c>
      <c r="D154" s="45" t="n">
        <v>0.15</v>
      </c>
      <c r="E154" s="45" t="n">
        <v>0.09</v>
      </c>
      <c r="F154" s="56" t="n"/>
      <c r="G154" s="56" t="n"/>
      <c r="H154" s="56" t="n"/>
      <c r="I154" s="45">
        <f>D154+0.03</f>
        <v/>
      </c>
      <c r="J154" s="45">
        <f>E154+0.03</f>
        <v/>
      </c>
      <c r="K154" s="44">
        <f>B154*I154*J154</f>
        <v/>
      </c>
      <c r="L154" s="43" t="n">
        <v>190</v>
      </c>
      <c r="M154" s="57">
        <f>K154*L154</f>
        <v/>
      </c>
      <c r="N154" s="58">
        <f>B154*2</f>
        <v/>
      </c>
      <c r="O154" s="57">
        <f>M154+N154</f>
        <v/>
      </c>
      <c r="P154" s="45">
        <f>K154*7.12</f>
        <v/>
      </c>
      <c r="Q154" s="56" t="inlineStr">
        <is>
          <t>Dak</t>
        </is>
      </c>
      <c r="R154" s="42" t="inlineStr">
        <is>
          <t>10-06-2026</t>
        </is>
      </c>
      <c r="S154" s="42" t="inlineStr">
        <is>
          <t>Peter</t>
        </is>
      </c>
      <c r="T154" s="56" t="inlineStr">
        <is>
          <t>N/A</t>
        </is>
      </c>
      <c r="U154" s="56" t="inlineStr">
        <is>
          <t>N/A</t>
        </is>
      </c>
    </row>
    <row r="155">
      <c r="A155" s="59" t="inlineStr">
        <is>
          <t>Lostock Fabric</t>
        </is>
      </c>
      <c r="B155" s="60" t="n">
        <v>4</v>
      </c>
      <c r="C155" s="61" t="n">
        <v>63</v>
      </c>
      <c r="D155" s="62" t="n">
        <v>0.74</v>
      </c>
      <c r="E155" s="62" t="n">
        <v>0.54</v>
      </c>
      <c r="F155" s="63" t="n"/>
      <c r="G155" s="63" t="n"/>
      <c r="H155" s="63" t="n"/>
      <c r="I155" s="62">
        <f>D155+0.03</f>
        <v/>
      </c>
      <c r="J155" s="62">
        <f>E155+0.03</f>
        <v/>
      </c>
      <c r="K155" s="64">
        <f>B155*I155*J155</f>
        <v/>
      </c>
      <c r="L155" s="60" t="n">
        <v>190</v>
      </c>
      <c r="M155" s="65">
        <f>K155*L155</f>
        <v/>
      </c>
      <c r="N155" s="66">
        <f>B155*2</f>
        <v/>
      </c>
      <c r="O155" s="65">
        <f>M155+N155</f>
        <v/>
      </c>
      <c r="P155" s="62">
        <f>K155*7.12</f>
        <v/>
      </c>
      <c r="Q155" s="63" t="inlineStr">
        <is>
          <t>2nd Floor</t>
        </is>
      </c>
      <c r="R155" s="59" t="inlineStr">
        <is>
          <t>10-06-2026</t>
        </is>
      </c>
      <c r="S155" s="59" t="inlineStr">
        <is>
          <t>Peter</t>
        </is>
      </c>
      <c r="T155" s="63" t="inlineStr">
        <is>
          <t>N/A</t>
        </is>
      </c>
      <c r="U155" s="63" t="inlineStr">
        <is>
          <t>N/A</t>
        </is>
      </c>
    </row>
    <row r="156">
      <c r="A156" s="42" t="inlineStr">
        <is>
          <t>Lostock Fabric</t>
        </is>
      </c>
      <c r="B156" s="43" t="n">
        <v>4</v>
      </c>
      <c r="C156" s="55" t="n">
        <v>63</v>
      </c>
      <c r="D156" s="45" t="n">
        <v>0.24</v>
      </c>
      <c r="E156" s="45" t="n">
        <v>0.24</v>
      </c>
      <c r="F156" s="56" t="n"/>
      <c r="G156" s="56" t="n"/>
      <c r="H156" s="56" t="n"/>
      <c r="I156" s="45">
        <f>D156+0.03</f>
        <v/>
      </c>
      <c r="J156" s="45">
        <f>E156+0.03</f>
        <v/>
      </c>
      <c r="K156" s="44">
        <f>B156*I156*J156</f>
        <v/>
      </c>
      <c r="L156" s="43" t="n">
        <v>190</v>
      </c>
      <c r="M156" s="57">
        <f>K156*L156</f>
        <v/>
      </c>
      <c r="N156" s="58">
        <f>B156*2</f>
        <v/>
      </c>
      <c r="O156" s="57">
        <f>M156+N156</f>
        <v/>
      </c>
      <c r="P156" s="45">
        <f>K156*7.12</f>
        <v/>
      </c>
      <c r="Q156" s="56" t="inlineStr">
        <is>
          <t>2nd Floor</t>
        </is>
      </c>
      <c r="R156" s="42" t="inlineStr">
        <is>
          <t>10-06-2026</t>
        </is>
      </c>
      <c r="S156" s="42" t="inlineStr">
        <is>
          <t>Peter</t>
        </is>
      </c>
      <c r="T156" s="56" t="inlineStr">
        <is>
          <t>N/A</t>
        </is>
      </c>
      <c r="U156" s="56" t="inlineStr">
        <is>
          <t>N/A</t>
        </is>
      </c>
    </row>
    <row r="157">
      <c r="A157" s="59" t="inlineStr">
        <is>
          <t>Lostock Fabric</t>
        </is>
      </c>
      <c r="B157" s="60" t="n">
        <v>4</v>
      </c>
      <c r="C157" s="61" t="n">
        <v>64</v>
      </c>
      <c r="D157" s="62" t="n">
        <v>0.82</v>
      </c>
      <c r="E157" s="62" t="n">
        <v>0.51</v>
      </c>
      <c r="F157" s="63" t="n"/>
      <c r="G157" s="63" t="n"/>
      <c r="H157" s="63" t="n"/>
      <c r="I157" s="62">
        <f>D157+0.03</f>
        <v/>
      </c>
      <c r="J157" s="62">
        <f>E157+0.03</f>
        <v/>
      </c>
      <c r="K157" s="64">
        <f>B157*I157*J157</f>
        <v/>
      </c>
      <c r="L157" s="60" t="n">
        <v>190</v>
      </c>
      <c r="M157" s="65">
        <f>K157*L157</f>
        <v/>
      </c>
      <c r="N157" s="66">
        <f>B157*2</f>
        <v/>
      </c>
      <c r="O157" s="65">
        <f>M157+N157</f>
        <v/>
      </c>
      <c r="P157" s="62">
        <f>K157*7.12</f>
        <v/>
      </c>
      <c r="Q157" s="63" t="inlineStr">
        <is>
          <t>Dak</t>
        </is>
      </c>
      <c r="R157" s="59" t="inlineStr">
        <is>
          <t>10-06-2026</t>
        </is>
      </c>
      <c r="S157" s="59" t="inlineStr">
        <is>
          <t>Peter</t>
        </is>
      </c>
      <c r="T157" s="63" t="inlineStr">
        <is>
          <t>/56</t>
        </is>
      </c>
      <c r="U157" s="63" t="inlineStr">
        <is>
          <t>/56</t>
        </is>
      </c>
    </row>
    <row r="158">
      <c r="A158" s="42" t="inlineStr">
        <is>
          <t>Lostock Fabric</t>
        </is>
      </c>
      <c r="B158" s="43" t="n">
        <v>4</v>
      </c>
      <c r="C158" s="55" t="n">
        <v>64</v>
      </c>
      <c r="D158" s="45" t="n">
        <v>0.26</v>
      </c>
      <c r="E158" s="45" t="n">
        <v>0.26</v>
      </c>
      <c r="F158" s="56" t="n"/>
      <c r="G158" s="56" t="n"/>
      <c r="H158" s="56" t="n"/>
      <c r="I158" s="45">
        <f>D158+0.03</f>
        <v/>
      </c>
      <c r="J158" s="45">
        <f>E158+0.03</f>
        <v/>
      </c>
      <c r="K158" s="44">
        <f>B158*I158*J158</f>
        <v/>
      </c>
      <c r="L158" s="43" t="n">
        <v>190</v>
      </c>
      <c r="M158" s="57">
        <f>K158*L158</f>
        <v/>
      </c>
      <c r="N158" s="58">
        <f>B158*2</f>
        <v/>
      </c>
      <c r="O158" s="57">
        <f>M158+N158</f>
        <v/>
      </c>
      <c r="P158" s="45">
        <f>K158*7.12</f>
        <v/>
      </c>
      <c r="Q158" s="56" t="inlineStr">
        <is>
          <t>Dak</t>
        </is>
      </c>
      <c r="R158" s="42" t="inlineStr">
        <is>
          <t>10-06-2026</t>
        </is>
      </c>
      <c r="S158" s="42" t="inlineStr">
        <is>
          <t>Peter</t>
        </is>
      </c>
      <c r="T158" s="56" t="inlineStr">
        <is>
          <t>/56</t>
        </is>
      </c>
      <c r="U158" s="56" t="inlineStr">
        <is>
          <t>/56</t>
        </is>
      </c>
    </row>
    <row r="159">
      <c r="A159" s="59" t="inlineStr">
        <is>
          <t>Lostock Fabric</t>
        </is>
      </c>
      <c r="B159" s="60" t="n">
        <v>4</v>
      </c>
      <c r="C159" s="61" t="n">
        <v>65</v>
      </c>
      <c r="D159" s="62" t="n">
        <v>1.05</v>
      </c>
      <c r="E159" s="62" t="n">
        <v>0.6</v>
      </c>
      <c r="F159" s="63" t="n"/>
      <c r="G159" s="63" t="n"/>
      <c r="H159" s="63" t="n"/>
      <c r="I159" s="62">
        <f>D159+0.03</f>
        <v/>
      </c>
      <c r="J159" s="62">
        <f>E159+0.03</f>
        <v/>
      </c>
      <c r="K159" s="64">
        <f>B159*I159*J159</f>
        <v/>
      </c>
      <c r="L159" s="60" t="n">
        <v>190</v>
      </c>
      <c r="M159" s="65">
        <f>K159*L159</f>
        <v/>
      </c>
      <c r="N159" s="66">
        <f>B159*2</f>
        <v/>
      </c>
      <c r="O159" s="65">
        <f>M159+N159</f>
        <v/>
      </c>
      <c r="P159" s="62">
        <f>K159*7.12</f>
        <v/>
      </c>
      <c r="Q159" s="63" t="inlineStr">
        <is>
          <t>2nd Floor</t>
        </is>
      </c>
      <c r="R159" s="59" t="inlineStr">
        <is>
          <t>10-06-2026</t>
        </is>
      </c>
      <c r="S159" s="59" t="inlineStr">
        <is>
          <t>Peter</t>
        </is>
      </c>
      <c r="T159" s="63" t="inlineStr">
        <is>
          <t>N/A</t>
        </is>
      </c>
      <c r="U159" s="63" t="inlineStr">
        <is>
          <t>N/A</t>
        </is>
      </c>
    </row>
    <row r="160">
      <c r="A160" s="42" t="inlineStr">
        <is>
          <t>Lostock Fabric</t>
        </is>
      </c>
      <c r="B160" s="43" t="n">
        <v>4</v>
      </c>
      <c r="C160" s="55" t="n">
        <v>66</v>
      </c>
      <c r="D160" s="45" t="n">
        <v>0.67</v>
      </c>
      <c r="E160" s="45" t="n">
        <v>0.51</v>
      </c>
      <c r="F160" s="56" t="n"/>
      <c r="G160" s="56" t="n"/>
      <c r="H160" s="56" t="n"/>
      <c r="I160" s="45">
        <f>D160+0.03</f>
        <v/>
      </c>
      <c r="J160" s="45">
        <f>E160+0.03</f>
        <v/>
      </c>
      <c r="K160" s="44">
        <f>B160*I160*J160</f>
        <v/>
      </c>
      <c r="L160" s="43" t="n">
        <v>190</v>
      </c>
      <c r="M160" s="57">
        <f>K160*L160</f>
        <v/>
      </c>
      <c r="N160" s="58">
        <f>B160*2</f>
        <v/>
      </c>
      <c r="O160" s="57">
        <f>M160+N160</f>
        <v/>
      </c>
      <c r="P160" s="45">
        <f>K160*7.12</f>
        <v/>
      </c>
      <c r="Q160" s="56" t="inlineStr">
        <is>
          <t>Dak</t>
        </is>
      </c>
      <c r="R160" s="42" t="inlineStr">
        <is>
          <t>10-06-2026</t>
        </is>
      </c>
      <c r="S160" s="42" t="inlineStr">
        <is>
          <t>Peter</t>
        </is>
      </c>
      <c r="T160" s="56" t="inlineStr">
        <is>
          <t>log</t>
        </is>
      </c>
      <c r="U160" s="56" t="inlineStr">
        <is>
          <t>N/A</t>
        </is>
      </c>
    </row>
    <row r="161">
      <c r="A161" s="59" t="inlineStr">
        <is>
          <t>Lostock Fabric</t>
        </is>
      </c>
      <c r="B161" s="60" t="n">
        <v>4</v>
      </c>
      <c r="C161" s="61" t="n">
        <v>66</v>
      </c>
      <c r="D161" s="62" t="n">
        <v>0.21</v>
      </c>
      <c r="E161" s="62" t="n">
        <v>0.21</v>
      </c>
      <c r="F161" s="63" t="n"/>
      <c r="G161" s="63" t="n"/>
      <c r="H161" s="63" t="n"/>
      <c r="I161" s="62">
        <f>D161+0.03</f>
        <v/>
      </c>
      <c r="J161" s="62">
        <f>E161+0.03</f>
        <v/>
      </c>
      <c r="K161" s="64">
        <f>B161*I161*J161</f>
        <v/>
      </c>
      <c r="L161" s="60" t="n">
        <v>190</v>
      </c>
      <c r="M161" s="65">
        <f>K161*L161</f>
        <v/>
      </c>
      <c r="N161" s="66">
        <f>B161*2</f>
        <v/>
      </c>
      <c r="O161" s="65">
        <f>M161+N161</f>
        <v/>
      </c>
      <c r="P161" s="62">
        <f>K161*7.12</f>
        <v/>
      </c>
      <c r="Q161" s="63" t="inlineStr">
        <is>
          <t>Dak</t>
        </is>
      </c>
      <c r="R161" s="59" t="inlineStr">
        <is>
          <t>10-06-2026</t>
        </is>
      </c>
      <c r="S161" s="59" t="inlineStr">
        <is>
          <t>Peter</t>
        </is>
      </c>
      <c r="T161" s="63" t="inlineStr">
        <is>
          <t>log</t>
        </is>
      </c>
      <c r="U161" s="63" t="inlineStr">
        <is>
          <t>N/A</t>
        </is>
      </c>
    </row>
    <row r="162">
      <c r="A162" s="42" t="inlineStr">
        <is>
          <t>Lostock Fabric</t>
        </is>
      </c>
      <c r="B162" s="43" t="n">
        <v>4</v>
      </c>
      <c r="C162" s="55" t="n">
        <v>67</v>
      </c>
      <c r="D162" s="45" t="n">
        <v>0.67</v>
      </c>
      <c r="E162" s="45" t="n">
        <v>0.62</v>
      </c>
      <c r="F162" s="56" t="n"/>
      <c r="G162" s="56" t="n"/>
      <c r="H162" s="56" t="n"/>
      <c r="I162" s="45">
        <f>D162+0.03</f>
        <v/>
      </c>
      <c r="J162" s="45">
        <f>E162+0.03</f>
        <v/>
      </c>
      <c r="K162" s="44">
        <f>B162*I162*J162</f>
        <v/>
      </c>
      <c r="L162" s="43" t="n">
        <v>190</v>
      </c>
      <c r="M162" s="57">
        <f>K162*L162</f>
        <v/>
      </c>
      <c r="N162" s="58">
        <f>B162*2</f>
        <v/>
      </c>
      <c r="O162" s="57">
        <f>M162+N162</f>
        <v/>
      </c>
      <c r="P162" s="45">
        <f>K162*7.12</f>
        <v/>
      </c>
      <c r="Q162" s="56" t="inlineStr">
        <is>
          <t>Dak</t>
        </is>
      </c>
      <c r="R162" s="42" t="inlineStr">
        <is>
          <t>10-06-2026</t>
        </is>
      </c>
      <c r="S162" s="42" t="inlineStr">
        <is>
          <t>Peter</t>
        </is>
      </c>
      <c r="T162" s="56" t="inlineStr">
        <is>
          <t>log</t>
        </is>
      </c>
      <c r="U162" s="56" t="inlineStr">
        <is>
          <t>N/A</t>
        </is>
      </c>
    </row>
    <row r="163">
      <c r="A163" s="59" t="inlineStr">
        <is>
          <t>Lostock Fabric</t>
        </is>
      </c>
      <c r="B163" s="60" t="n">
        <v>4</v>
      </c>
      <c r="C163" s="61" t="n">
        <v>67</v>
      </c>
      <c r="D163" s="62" t="n">
        <v>0.21</v>
      </c>
      <c r="E163" s="62" t="n">
        <v>0.21</v>
      </c>
      <c r="F163" s="63" t="n"/>
      <c r="G163" s="63" t="n"/>
      <c r="H163" s="63" t="n"/>
      <c r="I163" s="62">
        <f>D163+0.03</f>
        <v/>
      </c>
      <c r="J163" s="62">
        <f>E163+0.03</f>
        <v/>
      </c>
      <c r="K163" s="64">
        <f>B163*I163*J163</f>
        <v/>
      </c>
      <c r="L163" s="60" t="n">
        <v>190</v>
      </c>
      <c r="M163" s="65">
        <f>K163*L163</f>
        <v/>
      </c>
      <c r="N163" s="66">
        <f>B163*2</f>
        <v/>
      </c>
      <c r="O163" s="65">
        <f>M163+N163</f>
        <v/>
      </c>
      <c r="P163" s="62">
        <f>K163*7.12</f>
        <v/>
      </c>
      <c r="Q163" s="63" t="inlineStr">
        <is>
          <t>Dak</t>
        </is>
      </c>
      <c r="R163" s="59" t="inlineStr">
        <is>
          <t>10-06-2026</t>
        </is>
      </c>
      <c r="S163" s="59" t="inlineStr">
        <is>
          <t>Peter</t>
        </is>
      </c>
      <c r="T163" s="63" t="inlineStr">
        <is>
          <t>log</t>
        </is>
      </c>
      <c r="U163" s="63" t="inlineStr">
        <is>
          <t>N/A</t>
        </is>
      </c>
    </row>
    <row r="164">
      <c r="A164" s="42" t="inlineStr">
        <is>
          <t>Lostock Fabric</t>
        </is>
      </c>
      <c r="B164" s="43" t="n">
        <v>2</v>
      </c>
      <c r="C164" s="55" t="n">
        <v>68</v>
      </c>
      <c r="D164" s="45" t="n">
        <v>1.13</v>
      </c>
      <c r="E164" s="45" t="n">
        <v>0.35</v>
      </c>
      <c r="F164" s="56" t="n"/>
      <c r="G164" s="56" t="n"/>
      <c r="H164" s="56" t="n"/>
      <c r="I164" s="45">
        <f>D164+0.03</f>
        <v/>
      </c>
      <c r="J164" s="45">
        <f>E164+0.03</f>
        <v/>
      </c>
      <c r="K164" s="44">
        <f>B164*I164*J164</f>
        <v/>
      </c>
      <c r="L164" s="43" t="n">
        <v>190</v>
      </c>
      <c r="M164" s="57">
        <f>K164*L164</f>
        <v/>
      </c>
      <c r="N164" s="58">
        <f>B164*2</f>
        <v/>
      </c>
      <c r="O164" s="57">
        <f>M164+N164</f>
        <v/>
      </c>
      <c r="P164" s="45">
        <f>K164*7.12</f>
        <v/>
      </c>
      <c r="Q164" s="56" t="inlineStr">
        <is>
          <t>2 1/2 Floor</t>
        </is>
      </c>
      <c r="R164" s="42" t="inlineStr">
        <is>
          <t>10-06-2026</t>
        </is>
      </c>
      <c r="S164" s="42" t="inlineStr">
        <is>
          <t>Peter</t>
        </is>
      </c>
      <c r="T164" s="56" t="inlineStr">
        <is>
          <t>N/A</t>
        </is>
      </c>
      <c r="U164" s="56" t="inlineStr">
        <is>
          <t>N/A</t>
        </is>
      </c>
    </row>
    <row r="165">
      <c r="A165" s="59" t="inlineStr">
        <is>
          <t>Lostock Fabric</t>
        </is>
      </c>
      <c r="B165" s="60" t="n">
        <v>2</v>
      </c>
      <c r="C165" s="61" t="n">
        <v>69</v>
      </c>
      <c r="D165" s="62" t="n">
        <v>1.76</v>
      </c>
      <c r="E165" s="62" t="n">
        <v>1.02</v>
      </c>
      <c r="F165" s="63" t="n"/>
      <c r="G165" s="63" t="n"/>
      <c r="H165" s="63" t="n"/>
      <c r="I165" s="62">
        <f>D165+0.03</f>
        <v/>
      </c>
      <c r="J165" s="62">
        <f>E165+0.03</f>
        <v/>
      </c>
      <c r="K165" s="64">
        <f>B165*I165*J165</f>
        <v/>
      </c>
      <c r="L165" s="60" t="n">
        <v>190</v>
      </c>
      <c r="M165" s="65">
        <f>K165*L165</f>
        <v/>
      </c>
      <c r="N165" s="66">
        <f>B165*2</f>
        <v/>
      </c>
      <c r="O165" s="65">
        <f>M165+N165</f>
        <v/>
      </c>
      <c r="P165" s="62">
        <f>K165*7.12</f>
        <v/>
      </c>
      <c r="Q165" s="63" t="inlineStr">
        <is>
          <t>Dak</t>
        </is>
      </c>
      <c r="R165" s="59" t="inlineStr">
        <is>
          <t>10-06-2026</t>
        </is>
      </c>
      <c r="S165" s="59" t="inlineStr">
        <is>
          <t>Peter</t>
        </is>
      </c>
      <c r="T165" s="63" t="inlineStr">
        <is>
          <t>N/A</t>
        </is>
      </c>
      <c r="U165" s="63" t="inlineStr">
        <is>
          <t>N/A</t>
        </is>
      </c>
    </row>
    <row r="166">
      <c r="A166" s="42" t="inlineStr">
        <is>
          <t>Lostock Fabric</t>
        </is>
      </c>
      <c r="B166" s="43" t="n">
        <v>2</v>
      </c>
      <c r="C166" s="55" t="n">
        <v>69</v>
      </c>
      <c r="D166" s="45" t="n">
        <v>0.5600000000000001</v>
      </c>
      <c r="E166" s="45" t="n">
        <v>0.5600000000000001</v>
      </c>
      <c r="F166" s="56" t="n"/>
      <c r="G166" s="56" t="n"/>
      <c r="H166" s="56" t="n"/>
      <c r="I166" s="45">
        <f>D166+0.03</f>
        <v/>
      </c>
      <c r="J166" s="45">
        <f>E166+0.03</f>
        <v/>
      </c>
      <c r="K166" s="44">
        <f>B166*I166*J166</f>
        <v/>
      </c>
      <c r="L166" s="43" t="n">
        <v>190</v>
      </c>
      <c r="M166" s="57">
        <f>K166*L166</f>
        <v/>
      </c>
      <c r="N166" s="58">
        <f>B166*2</f>
        <v/>
      </c>
      <c r="O166" s="57">
        <f>M166+N166</f>
        <v/>
      </c>
      <c r="P166" s="45">
        <f>K166*7.12</f>
        <v/>
      </c>
      <c r="Q166" s="56" t="inlineStr">
        <is>
          <t>Dak</t>
        </is>
      </c>
      <c r="R166" s="42" t="inlineStr">
        <is>
          <t>10-06-2026</t>
        </is>
      </c>
      <c r="S166" s="42" t="inlineStr">
        <is>
          <t>Peter</t>
        </is>
      </c>
      <c r="T166" s="56" t="inlineStr">
        <is>
          <t>N/A</t>
        </is>
      </c>
      <c r="U166" s="56" t="inlineStr">
        <is>
          <t>N/A</t>
        </is>
      </c>
    </row>
    <row r="167">
      <c r="A167" s="59" t="inlineStr">
        <is>
          <t>Lostock Fabric</t>
        </is>
      </c>
      <c r="B167" s="60" t="n">
        <v>4</v>
      </c>
      <c r="C167" s="61" t="n">
        <v>70</v>
      </c>
      <c r="D167" s="62" t="n">
        <v>1.92</v>
      </c>
      <c r="E167" s="62" t="n">
        <v>0.72</v>
      </c>
      <c r="F167" s="63" t="n"/>
      <c r="G167" s="63" t="n"/>
      <c r="H167" s="63" t="n"/>
      <c r="I167" s="62">
        <f>D167+0.03</f>
        <v/>
      </c>
      <c r="J167" s="62">
        <f>E167+0.03</f>
        <v/>
      </c>
      <c r="K167" s="64">
        <f>B167*I167*J167</f>
        <v/>
      </c>
      <c r="L167" s="60" t="n">
        <v>190</v>
      </c>
      <c r="M167" s="65">
        <f>K167*L167</f>
        <v/>
      </c>
      <c r="N167" s="66">
        <f>B167*2</f>
        <v/>
      </c>
      <c r="O167" s="65">
        <f>M167+N167</f>
        <v/>
      </c>
      <c r="P167" s="62">
        <f>K167*7.12</f>
        <v/>
      </c>
      <c r="Q167" s="63" t="inlineStr">
        <is>
          <t>Dak</t>
        </is>
      </c>
      <c r="R167" s="59" t="inlineStr">
        <is>
          <t>10-06-2026</t>
        </is>
      </c>
      <c r="S167" s="59" t="inlineStr">
        <is>
          <t>Peter</t>
        </is>
      </c>
      <c r="T167" s="63" t="inlineStr">
        <is>
          <t>N/A</t>
        </is>
      </c>
      <c r="U167" s="63" t="inlineStr">
        <is>
          <t>N/A</t>
        </is>
      </c>
    </row>
    <row r="168">
      <c r="A168" s="42" t="inlineStr">
        <is>
          <t>Lostock Fabric</t>
        </is>
      </c>
      <c r="B168" s="43" t="n">
        <v>4</v>
      </c>
      <c r="C168" s="55" t="n">
        <v>73</v>
      </c>
      <c r="D168" s="45" t="n">
        <v>0.17</v>
      </c>
      <c r="E168" s="45" t="n">
        <v>0.61</v>
      </c>
      <c r="F168" s="56" t="n"/>
      <c r="G168" s="56" t="n"/>
      <c r="H168" s="56" t="n"/>
      <c r="I168" s="45">
        <f>D168+0.03</f>
        <v/>
      </c>
      <c r="J168" s="45">
        <f>E168+0.03</f>
        <v/>
      </c>
      <c r="K168" s="44">
        <f>B168*I168*J168</f>
        <v/>
      </c>
      <c r="L168" s="43" t="n">
        <v>190</v>
      </c>
      <c r="M168" s="57">
        <f>K168*L168</f>
        <v/>
      </c>
      <c r="N168" s="58">
        <f>B168*2</f>
        <v/>
      </c>
      <c r="O168" s="57">
        <f>M168+N168</f>
        <v/>
      </c>
      <c r="P168" s="45">
        <f>K168*7.12</f>
        <v/>
      </c>
      <c r="Q168" s="56" t="inlineStr">
        <is>
          <t>Dak</t>
        </is>
      </c>
      <c r="R168" s="42" t="inlineStr">
        <is>
          <t>10-06-2026</t>
        </is>
      </c>
      <c r="S168" s="42" t="inlineStr">
        <is>
          <t>Peter</t>
        </is>
      </c>
      <c r="T168" s="56" t="inlineStr">
        <is>
          <t>N/A</t>
        </is>
      </c>
      <c r="U168" s="56" t="inlineStr">
        <is>
          <t>N/A</t>
        </is>
      </c>
    </row>
    <row r="169">
      <c r="A169" s="59" t="inlineStr">
        <is>
          <t>Lostock Fabric</t>
        </is>
      </c>
      <c r="B169" s="60" t="n">
        <v>2</v>
      </c>
      <c r="C169" s="61" t="n">
        <v>74</v>
      </c>
      <c r="D169" s="62" t="n">
        <v>0.73</v>
      </c>
      <c r="E169" s="62" t="n">
        <v>0.26</v>
      </c>
      <c r="F169" s="63" t="n"/>
      <c r="G169" s="63" t="n"/>
      <c r="H169" s="63" t="n"/>
      <c r="I169" s="62">
        <f>D169+0.03</f>
        <v/>
      </c>
      <c r="J169" s="62">
        <f>E169+0.03</f>
        <v/>
      </c>
      <c r="K169" s="64">
        <f>B169*I169*J169</f>
        <v/>
      </c>
      <c r="L169" s="60" t="n">
        <v>190</v>
      </c>
      <c r="M169" s="65">
        <f>K169*L169</f>
        <v/>
      </c>
      <c r="N169" s="66">
        <f>B169*2</f>
        <v/>
      </c>
      <c r="O169" s="65">
        <f>M169+N169</f>
        <v/>
      </c>
      <c r="P169" s="62">
        <f>K169*7.12</f>
        <v/>
      </c>
      <c r="Q169" s="63" t="inlineStr">
        <is>
          <t>Turbine Hall</t>
        </is>
      </c>
      <c r="R169" s="59" t="inlineStr">
        <is>
          <t>10-06-2026</t>
        </is>
      </c>
      <c r="S169" s="59" t="inlineStr">
        <is>
          <t>Ron</t>
        </is>
      </c>
      <c r="T169" s="63" t="inlineStr">
        <is>
          <t>/2</t>
        </is>
      </c>
      <c r="U169" s="63" t="inlineStr">
        <is>
          <t>N/A</t>
        </is>
      </c>
    </row>
    <row r="170">
      <c r="A170" s="42" t="inlineStr">
        <is>
          <t>Lostock Fabric</t>
        </is>
      </c>
      <c r="B170" s="43" t="n">
        <v>2</v>
      </c>
      <c r="C170" s="55" t="n">
        <v>74</v>
      </c>
      <c r="D170" s="45" t="n">
        <v>0.23</v>
      </c>
      <c r="E170" s="45" t="n">
        <v>0.23</v>
      </c>
      <c r="F170" s="56" t="n"/>
      <c r="G170" s="56" t="n"/>
      <c r="H170" s="56" t="n"/>
      <c r="I170" s="45">
        <f>D170+0.03</f>
        <v/>
      </c>
      <c r="J170" s="45">
        <f>E170+0.03</f>
        <v/>
      </c>
      <c r="K170" s="44">
        <f>B170*I170*J170</f>
        <v/>
      </c>
      <c r="L170" s="43" t="n">
        <v>190</v>
      </c>
      <c r="M170" s="57">
        <f>K170*L170</f>
        <v/>
      </c>
      <c r="N170" s="58">
        <f>B170*2</f>
        <v/>
      </c>
      <c r="O170" s="57">
        <f>M170+N170</f>
        <v/>
      </c>
      <c r="P170" s="45">
        <f>K170*7.12</f>
        <v/>
      </c>
      <c r="Q170" s="56" t="inlineStr">
        <is>
          <t>Turbine Hall</t>
        </is>
      </c>
      <c r="R170" s="42" t="inlineStr">
        <is>
          <t>10-06-2026</t>
        </is>
      </c>
      <c r="S170" s="42" t="inlineStr">
        <is>
          <t>Ron</t>
        </is>
      </c>
      <c r="T170" s="56" t="inlineStr">
        <is>
          <t>/2</t>
        </is>
      </c>
      <c r="U170" s="56" t="inlineStr">
        <is>
          <t>N/A</t>
        </is>
      </c>
    </row>
    <row r="171">
      <c r="A171" s="59" t="inlineStr">
        <is>
          <t>Lostock Fabric</t>
        </is>
      </c>
      <c r="B171" s="60" t="n">
        <v>4</v>
      </c>
      <c r="C171" s="61" t="n">
        <v>75</v>
      </c>
      <c r="D171" s="62" t="n">
        <v>0.41</v>
      </c>
      <c r="E171" s="62" t="n">
        <v>0.22</v>
      </c>
      <c r="F171" s="63" t="n"/>
      <c r="G171" s="63" t="n"/>
      <c r="H171" s="63" t="n"/>
      <c r="I171" s="62">
        <f>D171+0.03</f>
        <v/>
      </c>
      <c r="J171" s="62">
        <f>E171+0.03</f>
        <v/>
      </c>
      <c r="K171" s="64">
        <f>B171*I171*J171</f>
        <v/>
      </c>
      <c r="L171" s="60" t="n">
        <v>190</v>
      </c>
      <c r="M171" s="65">
        <f>K171*L171</f>
        <v/>
      </c>
      <c r="N171" s="66">
        <f>B171*2</f>
        <v/>
      </c>
      <c r="O171" s="65">
        <f>M171+N171</f>
        <v/>
      </c>
      <c r="P171" s="62">
        <f>K171*7.12</f>
        <v/>
      </c>
      <c r="Q171" s="63" t="inlineStr">
        <is>
          <t>Turbine Hall</t>
        </is>
      </c>
      <c r="R171" s="59" t="inlineStr">
        <is>
          <t>10-06-2026</t>
        </is>
      </c>
      <c r="S171" s="59" t="inlineStr">
        <is>
          <t>Ron</t>
        </is>
      </c>
      <c r="T171" s="63" t="inlineStr">
        <is>
          <t>N/A</t>
        </is>
      </c>
      <c r="U171" s="63" t="inlineStr">
        <is>
          <t>N/A</t>
        </is>
      </c>
    </row>
    <row r="172">
      <c r="A172" s="67" t="inlineStr">
        <is>
          <t>Totaal</t>
        </is>
      </c>
      <c r="B172" s="49">
        <f>SUM(B4:B171)</f>
        <v/>
      </c>
      <c r="C172" s="48" t="n"/>
      <c r="D172" s="48" t="n"/>
      <c r="E172" s="48" t="n"/>
      <c r="F172" s="48" t="n"/>
      <c r="G172" s="48" t="n"/>
      <c r="H172" s="48" t="n"/>
      <c r="I172" s="48" t="n"/>
      <c r="J172" s="48" t="n"/>
      <c r="K172" s="50">
        <f>SUM(K4:K171)</f>
        <v/>
      </c>
      <c r="L172" s="48" t="n"/>
      <c r="M172" s="52">
        <f>SUM(M4:M171)</f>
        <v/>
      </c>
      <c r="N172" s="49">
        <f>SUM(N4:N171)</f>
        <v/>
      </c>
      <c r="O172" s="52">
        <f>SUM(O4:O171)</f>
        <v/>
      </c>
      <c r="P172" s="51">
        <f>SUM(P4:P171)</f>
        <v/>
      </c>
      <c r="Q172" s="48" t="n"/>
      <c r="R172" s="48" t="n"/>
      <c r="S172" s="48" t="n"/>
      <c r="T172" s="48" t="n"/>
      <c r="U172" s="4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1" customWidth="1" min="3" max="3"/>
    <col width="12" customWidth="1" min="4" max="4"/>
    <col width="18" customWidth="1" min="5" max="5"/>
    <col width="15" customWidth="1" min="6" max="6"/>
    <col width="15" customWidth="1" min="7" max="7"/>
    <col width="16" customWidth="1" min="8" max="8"/>
    <col width="50" customWidth="1" min="9" max="9"/>
  </cols>
  <sheetData>
    <row r="1">
      <c r="A1" s="40" t="inlineStr">
        <is>
          <t>Pagina</t>
        </is>
      </c>
      <c r="B1" s="40" t="inlineStr">
        <is>
          <t>Datum</t>
        </is>
      </c>
      <c r="C1" s="40" t="inlineStr">
        <is>
          <t>Dag</t>
        </is>
      </c>
      <c r="D1" s="40" t="inlineStr">
        <is>
          <t>Sectie</t>
        </is>
      </c>
      <c r="E1" s="40" t="inlineStr">
        <is>
          <t>Matrassen (st.)</t>
        </is>
      </c>
      <c r="F1" s="40" t="inlineStr">
        <is>
          <t>Petten (st.)</t>
        </is>
      </c>
      <c r="G1" s="40" t="inlineStr">
        <is>
          <t>Totaal Items</t>
        </is>
      </c>
      <c r="H1" s="40" t="inlineStr">
        <is>
          <t>Foto Pagina's</t>
        </is>
      </c>
      <c r="I1" s="40" t="inlineStr">
        <is>
          <t>Opmerkingen</t>
        </is>
      </c>
    </row>
    <row r="2">
      <c r="A2" s="41" t="n">
        <v>2</v>
      </c>
      <c r="B2" s="42" t="inlineStr">
        <is>
          <t>09-06-2026</t>
        </is>
      </c>
      <c r="C2" s="42" t="inlineStr">
        <is>
          <t>1e dag</t>
        </is>
      </c>
      <c r="D2" s="42" t="inlineStr">
        <is>
          <t>Sectie 1</t>
        </is>
      </c>
      <c r="E2" s="43" t="n">
        <v>156</v>
      </c>
      <c r="F2" s="43" t="n">
        <v>72</v>
      </c>
      <c r="G2" s="68">
        <f>E2+F2</f>
        <v/>
      </c>
      <c r="H2" s="42" t="inlineStr">
        <is>
          <t>5-19</t>
        </is>
      </c>
      <c r="I2" s="56" t="inlineStr">
        <is>
          <t>Geverifieerd</t>
        </is>
      </c>
    </row>
    <row r="3">
      <c r="A3" s="69" t="n">
        <v>3</v>
      </c>
      <c r="B3" s="59" t="inlineStr">
        <is>
          <t>09-06-2026</t>
        </is>
      </c>
      <c r="C3" s="59" t="inlineStr">
        <is>
          <t>1e dag</t>
        </is>
      </c>
      <c r="D3" s="59" t="inlineStr">
        <is>
          <t>Sectie 1</t>
        </is>
      </c>
      <c r="E3" s="60" t="n">
        <v>108</v>
      </c>
      <c r="F3" s="60" t="n">
        <v>56</v>
      </c>
      <c r="G3" s="70">
        <f>E3+F3</f>
        <v/>
      </c>
      <c r="H3" s="59" t="inlineStr">
        <is>
          <t>5-19</t>
        </is>
      </c>
      <c r="I3" s="63" t="inlineStr">
        <is>
          <t>Geverifieerd</t>
        </is>
      </c>
    </row>
    <row r="4">
      <c r="A4" s="41" t="n">
        <v>4</v>
      </c>
      <c r="B4" s="42" t="inlineStr">
        <is>
          <t>09-06-2026</t>
        </is>
      </c>
      <c r="C4" s="42" t="inlineStr">
        <is>
          <t>1e dag</t>
        </is>
      </c>
      <c r="D4" s="42" t="inlineStr">
        <is>
          <t>Sectie 1</t>
        </is>
      </c>
      <c r="E4" s="43" t="n">
        <v>43</v>
      </c>
      <c r="F4" s="43" t="n">
        <v>6</v>
      </c>
      <c r="G4" s="68">
        <f>E4+F4</f>
        <v/>
      </c>
      <c r="H4" s="42" t="inlineStr">
        <is>
          <t>5-19</t>
        </is>
      </c>
      <c r="I4" s="56" t="inlineStr">
        <is>
          <t>Geverifieerd; Box 22 marked NV is meegeteld</t>
        </is>
      </c>
    </row>
    <row r="5">
      <c r="A5" s="69" t="n">
        <v>20</v>
      </c>
      <c r="B5" s="59" t="inlineStr">
        <is>
          <t>09-06-2026</t>
        </is>
      </c>
      <c r="C5" s="59" t="inlineStr">
        <is>
          <t>1e dag</t>
        </is>
      </c>
      <c r="D5" s="59" t="inlineStr">
        <is>
          <t>Sectie 2</t>
        </is>
      </c>
      <c r="E5" s="60" t="n">
        <v>5</v>
      </c>
      <c r="F5" s="60" t="n">
        <v>5</v>
      </c>
      <c r="G5" s="70">
        <f>E5+F5</f>
        <v/>
      </c>
      <c r="H5" s="59" t="inlineStr">
        <is>
          <t>23-35</t>
        </is>
      </c>
      <c r="I5" s="63" t="inlineStr">
        <is>
          <t>Geverifieerd</t>
        </is>
      </c>
    </row>
    <row r="6">
      <c r="A6" s="41" t="n">
        <v>21</v>
      </c>
      <c r="B6" s="42" t="inlineStr">
        <is>
          <t>09-06-2026</t>
        </is>
      </c>
      <c r="C6" s="42" t="inlineStr">
        <is>
          <t>1e dag</t>
        </is>
      </c>
      <c r="D6" s="42" t="inlineStr">
        <is>
          <t>Sectie 2</t>
        </is>
      </c>
      <c r="E6" s="43" t="n">
        <v>8</v>
      </c>
      <c r="F6" s="43" t="n">
        <v>0</v>
      </c>
      <c r="G6" s="68">
        <f>E6+F6</f>
        <v/>
      </c>
      <c r="H6" s="42" t="inlineStr">
        <is>
          <t>23-35</t>
        </is>
      </c>
      <c r="I6" s="56" t="inlineStr">
        <is>
          <t>Geverifieerd; Geen haken</t>
        </is>
      </c>
    </row>
    <row r="7">
      <c r="A7" s="69" t="n">
        <v>22</v>
      </c>
      <c r="B7" s="59" t="inlineStr">
        <is>
          <t>09-06-2026</t>
        </is>
      </c>
      <c r="C7" s="59" t="inlineStr">
        <is>
          <t>1e dag</t>
        </is>
      </c>
      <c r="D7" s="59" t="inlineStr">
        <is>
          <t>Sectie 2</t>
        </is>
      </c>
      <c r="E7" s="60" t="n">
        <v>36</v>
      </c>
      <c r="F7" s="60" t="n">
        <v>24</v>
      </c>
      <c r="G7" s="70">
        <f>E7+F7</f>
        <v/>
      </c>
      <c r="H7" s="59" t="inlineStr">
        <is>
          <t>23-35</t>
        </is>
      </c>
      <c r="I7" s="63" t="inlineStr">
        <is>
          <t>Geverifieerd</t>
        </is>
      </c>
    </row>
    <row r="8">
      <c r="A8" s="41" t="n">
        <v>36</v>
      </c>
      <c r="B8" s="42" t="inlineStr">
        <is>
          <t>10-06-2026</t>
        </is>
      </c>
      <c r="C8" s="42" t="inlineStr">
        <is>
          <t>2e dag</t>
        </is>
      </c>
      <c r="D8" s="42" t="inlineStr">
        <is>
          <t>Sectie 3</t>
        </is>
      </c>
      <c r="E8" s="43" t="n">
        <v>44</v>
      </c>
      <c r="F8" s="43" t="n">
        <v>16</v>
      </c>
      <c r="G8" s="68">
        <f>E8+F8</f>
        <v/>
      </c>
      <c r="H8" s="42" t="inlineStr">
        <is>
          <t>38-40</t>
        </is>
      </c>
      <c r="I8" s="56" t="inlineStr">
        <is>
          <t>Geverifieerd; Box 50 marked NV is meegeteld</t>
        </is>
      </c>
    </row>
    <row r="9">
      <c r="A9" s="69" t="n">
        <v>37</v>
      </c>
      <c r="B9" s="59" t="inlineStr">
        <is>
          <t>10-06-2026</t>
        </is>
      </c>
      <c r="C9" s="59" t="inlineStr">
        <is>
          <t>2e dag</t>
        </is>
      </c>
      <c r="D9" s="59" t="inlineStr">
        <is>
          <t>Sectie 3</t>
        </is>
      </c>
      <c r="E9" s="60" t="n">
        <v>18</v>
      </c>
      <c r="F9" s="60" t="n">
        <v>4</v>
      </c>
      <c r="G9" s="70">
        <f>E9+F9</f>
        <v/>
      </c>
      <c r="H9" s="59" t="inlineStr">
        <is>
          <t>38-40</t>
        </is>
      </c>
      <c r="I9" s="63" t="inlineStr">
        <is>
          <t>Geverifieerd</t>
        </is>
      </c>
    </row>
    <row r="10">
      <c r="A10" s="41" t="n">
        <v>41</v>
      </c>
      <c r="B10" s="42" t="inlineStr">
        <is>
          <t>10-06-2026</t>
        </is>
      </c>
      <c r="C10" s="42" t="inlineStr">
        <is>
          <t>2e dag</t>
        </is>
      </c>
      <c r="D10" s="42" t="inlineStr">
        <is>
          <t>Sectie 4</t>
        </is>
      </c>
      <c r="E10" s="43" t="n">
        <v>28</v>
      </c>
      <c r="F10" s="43" t="n">
        <v>18</v>
      </c>
      <c r="G10" s="68">
        <f>E10+F10</f>
        <v/>
      </c>
      <c r="H10" s="42" t="inlineStr">
        <is>
          <t>42</t>
        </is>
      </c>
      <c r="I10" s="56" t="inlineStr">
        <is>
          <t>Geverifieerd</t>
        </is>
      </c>
    </row>
    <row r="11">
      <c r="A11" s="69" t="n">
        <v>43</v>
      </c>
      <c r="B11" s="59" t="inlineStr">
        <is>
          <t>10-06-2026</t>
        </is>
      </c>
      <c r="C11" s="59" t="inlineStr">
        <is>
          <t>2e dag</t>
        </is>
      </c>
      <c r="D11" s="59" t="inlineStr">
        <is>
          <t>Sectie 5</t>
        </is>
      </c>
      <c r="E11" s="60" t="n">
        <v>26</v>
      </c>
      <c r="F11" s="60" t="n">
        <v>4</v>
      </c>
      <c r="G11" s="70">
        <f>E11+F11</f>
        <v/>
      </c>
      <c r="H11" s="59" t="inlineStr">
        <is>
          <t>44-46</t>
        </is>
      </c>
      <c r="I11" s="63" t="inlineStr">
        <is>
          <t>Geverifieerd; Incl. doorgestreepte matrassen</t>
        </is>
      </c>
    </row>
    <row r="12">
      <c r="A12" s="41" t="n">
        <v>47</v>
      </c>
      <c r="B12" s="42" t="inlineStr">
        <is>
          <t>10-06-2026</t>
        </is>
      </c>
      <c r="C12" s="42" t="inlineStr">
        <is>
          <t>2e dag</t>
        </is>
      </c>
      <c r="D12" s="42" t="inlineStr">
        <is>
          <t>Sectie 6</t>
        </is>
      </c>
      <c r="E12" s="43" t="n">
        <v>20</v>
      </c>
      <c r="F12" s="43" t="n">
        <v>4</v>
      </c>
      <c r="G12" s="68">
        <f>E12+F12</f>
        <v/>
      </c>
      <c r="H12" s="42" t="inlineStr">
        <is>
          <t>48</t>
        </is>
      </c>
      <c r="I12" s="56" t="inlineStr">
        <is>
          <t>Geverifieerd</t>
        </is>
      </c>
    </row>
    <row r="13">
      <c r="A13" s="69" t="n">
        <v>49</v>
      </c>
      <c r="B13" s="59" t="inlineStr">
        <is>
          <t>10-06-2026</t>
        </is>
      </c>
      <c r="C13" s="59" t="inlineStr">
        <is>
          <t>2e dag</t>
        </is>
      </c>
      <c r="D13" s="59" t="inlineStr">
        <is>
          <t>Sectie 7</t>
        </is>
      </c>
      <c r="E13" s="60" t="n">
        <v>12</v>
      </c>
      <c r="F13" s="60" t="n">
        <v>1</v>
      </c>
      <c r="G13" s="70">
        <f>E13+F13</f>
        <v/>
      </c>
      <c r="H13" s="59" t="inlineStr">
        <is>
          <t>50-51</t>
        </is>
      </c>
      <c r="I13" s="63" t="inlineStr">
        <is>
          <t>Geverifieerd</t>
        </is>
      </c>
    </row>
    <row r="14">
      <c r="A14" s="41" t="n">
        <v>52</v>
      </c>
      <c r="B14" s="42" t="inlineStr">
        <is>
          <t>10-06-2026</t>
        </is>
      </c>
      <c r="C14" s="42" t="inlineStr">
        <is>
          <t>2e dag</t>
        </is>
      </c>
      <c r="D14" s="42" t="inlineStr">
        <is>
          <t>Sectie 8</t>
        </is>
      </c>
      <c r="E14" s="43" t="n">
        <v>21</v>
      </c>
      <c r="F14" s="43" t="n">
        <v>0</v>
      </c>
      <c r="G14" s="68">
        <f>E14+F14</f>
        <v/>
      </c>
      <c r="H14" s="42" t="inlineStr">
        <is>
          <t>60-84</t>
        </is>
      </c>
      <c r="I14" s="56" t="inlineStr">
        <is>
          <t>Geverifieerd</t>
        </is>
      </c>
    </row>
    <row r="15">
      <c r="A15" s="69" t="n">
        <v>53</v>
      </c>
      <c r="B15" s="59" t="inlineStr">
        <is>
          <t>10-06-2026</t>
        </is>
      </c>
      <c r="C15" s="59" t="inlineStr">
        <is>
          <t>2e dag</t>
        </is>
      </c>
      <c r="D15" s="59" t="inlineStr">
        <is>
          <t>Sectie 8</t>
        </is>
      </c>
      <c r="E15" s="60" t="n">
        <v>21</v>
      </c>
      <c r="F15" s="60" t="n">
        <v>0</v>
      </c>
      <c r="G15" s="70">
        <f>E15+F15</f>
        <v/>
      </c>
      <c r="H15" s="59" t="inlineStr">
        <is>
          <t>60-84</t>
        </is>
      </c>
      <c r="I15" s="63" t="inlineStr">
        <is>
          <t>Geverifieerd</t>
        </is>
      </c>
    </row>
    <row r="16">
      <c r="A16" s="41" t="n">
        <v>54</v>
      </c>
      <c r="B16" s="42" t="inlineStr">
        <is>
          <t>10-06-2026</t>
        </is>
      </c>
      <c r="C16" s="42" t="inlineStr">
        <is>
          <t>2e dag</t>
        </is>
      </c>
      <c r="D16" s="42" t="inlineStr">
        <is>
          <t>Sectie 8</t>
        </is>
      </c>
      <c r="E16" s="43" t="n">
        <v>11</v>
      </c>
      <c r="F16" s="43" t="n">
        <v>0</v>
      </c>
      <c r="G16" s="68">
        <f>E16+F16</f>
        <v/>
      </c>
      <c r="H16" s="42" t="inlineStr">
        <is>
          <t>60-84</t>
        </is>
      </c>
      <c r="I16" s="56" t="inlineStr">
        <is>
          <t>Geverifieerd</t>
        </is>
      </c>
    </row>
    <row r="17">
      <c r="A17" s="69" t="n">
        <v>55</v>
      </c>
      <c r="B17" s="59" t="inlineStr">
        <is>
          <t>10-06-2026</t>
        </is>
      </c>
      <c r="C17" s="59" t="inlineStr">
        <is>
          <t>2e dag</t>
        </is>
      </c>
      <c r="D17" s="59" t="inlineStr">
        <is>
          <t>Sectie 8</t>
        </is>
      </c>
      <c r="E17" s="60" t="n">
        <v>15</v>
      </c>
      <c r="F17" s="60" t="n">
        <v>0</v>
      </c>
      <c r="G17" s="70">
        <f>E17+F17</f>
        <v/>
      </c>
      <c r="H17" s="59" t="inlineStr">
        <is>
          <t>60-84</t>
        </is>
      </c>
      <c r="I17" s="63" t="inlineStr">
        <is>
          <t>Geverifieerd</t>
        </is>
      </c>
    </row>
    <row r="18">
      <c r="A18" s="41" t="n">
        <v>56</v>
      </c>
      <c r="B18" s="42" t="inlineStr">
        <is>
          <t>10-06-2026</t>
        </is>
      </c>
      <c r="C18" s="42" t="inlineStr">
        <is>
          <t>2e dag</t>
        </is>
      </c>
      <c r="D18" s="42" t="inlineStr">
        <is>
          <t>Sectie 8</t>
        </is>
      </c>
      <c r="E18" s="43" t="n">
        <v>16</v>
      </c>
      <c r="F18" s="43" t="n">
        <v>2</v>
      </c>
      <c r="G18" s="68">
        <f>E18+F18</f>
        <v/>
      </c>
      <c r="H18" s="42" t="inlineStr">
        <is>
          <t>60-84</t>
        </is>
      </c>
      <c r="I18" s="56" t="inlineStr">
        <is>
          <t>Geverifieerd</t>
        </is>
      </c>
    </row>
    <row r="19">
      <c r="A19" s="69" t="n">
        <v>57</v>
      </c>
      <c r="B19" s="59" t="inlineStr">
        <is>
          <t>10-06-2026</t>
        </is>
      </c>
      <c r="C19" s="59" t="inlineStr">
        <is>
          <t>2e dag</t>
        </is>
      </c>
      <c r="D19" s="59" t="inlineStr">
        <is>
          <t>Sectie 8</t>
        </is>
      </c>
      <c r="E19" s="60" t="n">
        <v>20</v>
      </c>
      <c r="F19" s="60" t="n">
        <v>0</v>
      </c>
      <c r="G19" s="70">
        <f>E19+F19</f>
        <v/>
      </c>
      <c r="H19" s="59" t="inlineStr">
        <is>
          <t>60-84</t>
        </is>
      </c>
      <c r="I19" s="63" t="inlineStr">
        <is>
          <t>Geverifieerd; Datum op blad heeft typefout 10-5</t>
        </is>
      </c>
    </row>
    <row r="20">
      <c r="A20" s="41" t="n">
        <v>58</v>
      </c>
      <c r="B20" s="42" t="inlineStr">
        <is>
          <t>10-06-2026</t>
        </is>
      </c>
      <c r="C20" s="42" t="inlineStr">
        <is>
          <t>2e dag</t>
        </is>
      </c>
      <c r="D20" s="42" t="inlineStr">
        <is>
          <t>Sectie 8</t>
        </is>
      </c>
      <c r="E20" s="43" t="n">
        <v>27</v>
      </c>
      <c r="F20" s="43" t="n">
        <v>0</v>
      </c>
      <c r="G20" s="68">
        <f>E20+F20</f>
        <v/>
      </c>
      <c r="H20" s="42" t="inlineStr">
        <is>
          <t>60-84</t>
        </is>
      </c>
      <c r="I20" s="56" t="inlineStr">
        <is>
          <t>Geverifieerd</t>
        </is>
      </c>
    </row>
    <row r="21">
      <c r="A21" s="69" t="n">
        <v>59</v>
      </c>
      <c r="B21" s="59" t="inlineStr">
        <is>
          <t>10-06-2026</t>
        </is>
      </c>
      <c r="C21" s="59" t="inlineStr">
        <is>
          <t>2e dag</t>
        </is>
      </c>
      <c r="D21" s="59" t="inlineStr">
        <is>
          <t>Sectie 8</t>
        </is>
      </c>
      <c r="E21" s="60" t="n">
        <v>11</v>
      </c>
      <c r="F21" s="60" t="n">
        <v>0</v>
      </c>
      <c r="G21" s="70">
        <f>E21+F21</f>
        <v/>
      </c>
      <c r="H21" s="59" t="inlineStr">
        <is>
          <t>60-84</t>
        </is>
      </c>
      <c r="I21" s="63" t="inlineStr">
        <is>
          <t>Geverifieerd</t>
        </is>
      </c>
    </row>
    <row r="22">
      <c r="A22" s="41" t="n">
        <v>85</v>
      </c>
      <c r="B22" s="42" t="inlineStr">
        <is>
          <t>11-06-2026</t>
        </is>
      </c>
      <c r="C22" s="42" t="inlineStr">
        <is>
          <t>3e dag</t>
        </is>
      </c>
      <c r="D22" s="42" t="inlineStr">
        <is>
          <t>Sectie 9</t>
        </is>
      </c>
      <c r="E22" s="43" t="n">
        <v>14</v>
      </c>
      <c r="F22" s="43" t="n">
        <v>0</v>
      </c>
      <c r="G22" s="68">
        <f>E22+F22</f>
        <v/>
      </c>
      <c r="H22" s="42" t="inlineStr">
        <is>
          <t>90-95</t>
        </is>
      </c>
      <c r="I22" s="56" t="inlineStr">
        <is>
          <t>Geverifieerd</t>
        </is>
      </c>
    </row>
    <row r="23">
      <c r="A23" s="69" t="n">
        <v>86</v>
      </c>
      <c r="B23" s="59" t="inlineStr">
        <is>
          <t>11-06-2026</t>
        </is>
      </c>
      <c r="C23" s="59" t="inlineStr">
        <is>
          <t>3e dag</t>
        </is>
      </c>
      <c r="D23" s="59" t="inlineStr">
        <is>
          <t>Sectie 9</t>
        </is>
      </c>
      <c r="E23" s="60" t="n">
        <v>33</v>
      </c>
      <c r="F23" s="60" t="n">
        <v>0</v>
      </c>
      <c r="G23" s="70">
        <f>E23+F23</f>
        <v/>
      </c>
      <c r="H23" s="59" t="inlineStr">
        <is>
          <t>90-95</t>
        </is>
      </c>
      <c r="I23" s="63" t="inlineStr">
        <is>
          <t>Geverifieerd</t>
        </is>
      </c>
    </row>
    <row r="24">
      <c r="A24" s="41" t="n">
        <v>87</v>
      </c>
      <c r="B24" s="42" t="inlineStr">
        <is>
          <t>11-06-2026</t>
        </is>
      </c>
      <c r="C24" s="42" t="inlineStr">
        <is>
          <t>3e dag</t>
        </is>
      </c>
      <c r="D24" s="42" t="inlineStr">
        <is>
          <t>Sectie 9</t>
        </is>
      </c>
      <c r="E24" s="43" t="n">
        <v>81</v>
      </c>
      <c r="F24" s="43" t="n">
        <v>1</v>
      </c>
      <c r="G24" s="68">
        <f>E24+F24</f>
        <v/>
      </c>
      <c r="H24" s="42" t="inlineStr">
        <is>
          <t>90-95</t>
        </is>
      </c>
      <c r="I24" s="56" t="inlineStr">
        <is>
          <t>Geverifieerd; Box 171 doorgestreept en meegeteld</t>
        </is>
      </c>
    </row>
    <row r="25">
      <c r="A25" s="69" t="n">
        <v>88</v>
      </c>
      <c r="B25" s="59" t="inlineStr">
        <is>
          <t>11-06-2026</t>
        </is>
      </c>
      <c r="C25" s="59" t="inlineStr">
        <is>
          <t>3e dag</t>
        </is>
      </c>
      <c r="D25" s="59" t="inlineStr">
        <is>
          <t>Sectie 9</t>
        </is>
      </c>
      <c r="E25" s="60" t="n">
        <v>9</v>
      </c>
      <c r="F25" s="60" t="n">
        <v>0</v>
      </c>
      <c r="G25" s="70">
        <f>E25+F25</f>
        <v/>
      </c>
      <c r="H25" s="59" t="inlineStr">
        <is>
          <t>90-95</t>
        </is>
      </c>
      <c r="I25" s="63" t="inlineStr">
        <is>
          <t>Geverifieerd</t>
        </is>
      </c>
    </row>
    <row r="26">
      <c r="A26" s="41" t="n">
        <v>89</v>
      </c>
      <c r="B26" s="42" t="inlineStr">
        <is>
          <t>11-06-2026</t>
        </is>
      </c>
      <c r="C26" s="42" t="inlineStr">
        <is>
          <t>3e dag</t>
        </is>
      </c>
      <c r="D26" s="42" t="inlineStr">
        <is>
          <t>Sectie 9</t>
        </is>
      </c>
      <c r="E26" s="43" t="n">
        <v>7</v>
      </c>
      <c r="F26" s="43" t="n">
        <v>0</v>
      </c>
      <c r="G26" s="68">
        <f>E26+F26</f>
        <v/>
      </c>
      <c r="H26" s="42" t="inlineStr">
        <is>
          <t>90-95</t>
        </is>
      </c>
      <c r="I26" s="56" t="inlineStr">
        <is>
          <t>Geverifieerd</t>
        </is>
      </c>
    </row>
    <row r="27">
      <c r="A27" s="69" t="n">
        <v>96</v>
      </c>
      <c r="B27" s="59" t="inlineStr">
        <is>
          <t>11-06-2026</t>
        </is>
      </c>
      <c r="C27" s="59" t="inlineStr">
        <is>
          <t>3e dag</t>
        </is>
      </c>
      <c r="D27" s="59" t="inlineStr">
        <is>
          <t>Sectie 10</t>
        </is>
      </c>
      <c r="E27" s="60" t="n">
        <v>48</v>
      </c>
      <c r="F27" s="60" t="n">
        <v>0</v>
      </c>
      <c r="G27" s="70">
        <f>E27+F27</f>
        <v/>
      </c>
      <c r="H27" s="59" t="inlineStr">
        <is>
          <t>97-98</t>
        </is>
      </c>
      <c r="I27" s="63" t="inlineStr">
        <is>
          <t>Geverifieerd</t>
        </is>
      </c>
    </row>
    <row r="28">
      <c r="A28" s="41" t="n">
        <v>99</v>
      </c>
      <c r="B28" s="42" t="inlineStr">
        <is>
          <t>11-06-2026</t>
        </is>
      </c>
      <c r="C28" s="42" t="inlineStr">
        <is>
          <t>3e dag</t>
        </is>
      </c>
      <c r="D28" s="42" t="inlineStr">
        <is>
          <t>Sectie 11</t>
        </is>
      </c>
      <c r="E28" s="43" t="n">
        <v>24</v>
      </c>
      <c r="F28" s="43" t="n">
        <v>9</v>
      </c>
      <c r="G28" s="68">
        <f>E28+F28</f>
        <v/>
      </c>
      <c r="H28" s="42" t="inlineStr">
        <is>
          <t>104-106</t>
        </is>
      </c>
      <c r="I28" s="56" t="inlineStr">
        <is>
          <t>Geverifieerd; Box 203 doorgestreept en meegeteld</t>
        </is>
      </c>
    </row>
    <row r="29">
      <c r="A29" s="69" t="n">
        <v>100</v>
      </c>
      <c r="B29" s="59" t="inlineStr">
        <is>
          <t>11-06-2026</t>
        </is>
      </c>
      <c r="C29" s="59" t="inlineStr">
        <is>
          <t>3e dag</t>
        </is>
      </c>
      <c r="D29" s="59" t="inlineStr">
        <is>
          <t>Sectie 11</t>
        </is>
      </c>
      <c r="E29" s="60" t="n">
        <v>51</v>
      </c>
      <c r="F29" s="60" t="n">
        <v>0</v>
      </c>
      <c r="G29" s="70">
        <f>E29+F29</f>
        <v/>
      </c>
      <c r="H29" s="59" t="inlineStr">
        <is>
          <t>104-106</t>
        </is>
      </c>
      <c r="I29" s="63" t="inlineStr">
        <is>
          <t>Geverifieerd</t>
        </is>
      </c>
    </row>
    <row r="30">
      <c r="A30" s="41" t="n">
        <v>101</v>
      </c>
      <c r="B30" s="42" t="inlineStr">
        <is>
          <t>11-06-2026</t>
        </is>
      </c>
      <c r="C30" s="42" t="inlineStr">
        <is>
          <t>3e dag</t>
        </is>
      </c>
      <c r="D30" s="42" t="inlineStr">
        <is>
          <t>Sectie 11</t>
        </is>
      </c>
      <c r="E30" s="43" t="n">
        <v>42</v>
      </c>
      <c r="F30" s="43" t="n">
        <v>0</v>
      </c>
      <c r="G30" s="68">
        <f>E30+F30</f>
        <v/>
      </c>
      <c r="H30" s="42" t="inlineStr">
        <is>
          <t>104-106</t>
        </is>
      </c>
      <c r="I30" s="56" t="inlineStr">
        <is>
          <t>Geverifieerd</t>
        </is>
      </c>
    </row>
    <row r="31">
      <c r="A31" s="69" t="n">
        <v>102</v>
      </c>
      <c r="B31" s="59" t="inlineStr">
        <is>
          <t>11-06-2026</t>
        </is>
      </c>
      <c r="C31" s="59" t="inlineStr">
        <is>
          <t>3e dag</t>
        </is>
      </c>
      <c r="D31" s="59" t="inlineStr">
        <is>
          <t>Sectie 11</t>
        </is>
      </c>
      <c r="E31" s="60" t="n">
        <v>48</v>
      </c>
      <c r="F31" s="60" t="n">
        <v>0</v>
      </c>
      <c r="G31" s="70">
        <f>E31+F31</f>
        <v/>
      </c>
      <c r="H31" s="59" t="inlineStr">
        <is>
          <t>104-106</t>
        </is>
      </c>
      <c r="I31" s="63" t="inlineStr">
        <is>
          <t>Geverifieerd</t>
        </is>
      </c>
    </row>
    <row r="32">
      <c r="A32" s="41" t="n">
        <v>103</v>
      </c>
      <c r="B32" s="42" t="inlineStr">
        <is>
          <t>11-06-2026</t>
        </is>
      </c>
      <c r="C32" s="42" t="inlineStr">
        <is>
          <t>3e dag</t>
        </is>
      </c>
      <c r="D32" s="42" t="inlineStr">
        <is>
          <t>Sectie 11</t>
        </is>
      </c>
      <c r="E32" s="43" t="n">
        <v>45</v>
      </c>
      <c r="F32" s="43" t="n">
        <v>0</v>
      </c>
      <c r="G32" s="68">
        <f>E32+F32</f>
        <v/>
      </c>
      <c r="H32" s="42" t="inlineStr">
        <is>
          <t>104-106</t>
        </is>
      </c>
      <c r="I32" s="56" t="inlineStr">
        <is>
          <t>Geverifieerd</t>
        </is>
      </c>
    </row>
    <row r="33">
      <c r="A33" s="69" t="n">
        <v>107</v>
      </c>
      <c r="B33" s="59" t="inlineStr">
        <is>
          <t>12-06-2026</t>
        </is>
      </c>
      <c r="C33" s="59" t="inlineStr">
        <is>
          <t>4e dag</t>
        </is>
      </c>
      <c r="D33" s="59" t="inlineStr">
        <is>
          <t>Sectie 12</t>
        </is>
      </c>
      <c r="E33" s="60" t="n">
        <v>3</v>
      </c>
      <c r="F33" s="60" t="n">
        <v>0</v>
      </c>
      <c r="G33" s="70">
        <f>E33+F33</f>
        <v/>
      </c>
      <c r="H33" s="59" t="inlineStr">
        <is>
          <t>110-111</t>
        </is>
      </c>
      <c r="I33" s="63" t="inlineStr">
        <is>
          <t>Geverifieerd</t>
        </is>
      </c>
    </row>
    <row r="34">
      <c r="A34" s="41" t="n">
        <v>108</v>
      </c>
      <c r="B34" s="42" t="inlineStr">
        <is>
          <t>12-06-2026</t>
        </is>
      </c>
      <c r="C34" s="42" t="inlineStr">
        <is>
          <t>4e dag</t>
        </is>
      </c>
      <c r="D34" s="42" t="inlineStr">
        <is>
          <t>Sectie 12</t>
        </is>
      </c>
      <c r="E34" s="43" t="n">
        <v>16</v>
      </c>
      <c r="F34" s="43" t="n">
        <v>0</v>
      </c>
      <c r="G34" s="68">
        <f>E34+F34</f>
        <v/>
      </c>
      <c r="H34" s="42" t="inlineStr">
        <is>
          <t>110-111</t>
        </is>
      </c>
      <c r="I34" s="56" t="inlineStr">
        <is>
          <t>Geverifieerd</t>
        </is>
      </c>
    </row>
    <row r="35">
      <c r="A35" s="69" t="n">
        <v>109</v>
      </c>
      <c r="B35" s="59" t="inlineStr">
        <is>
          <t>12-06-2026</t>
        </is>
      </c>
      <c r="C35" s="59" t="inlineStr">
        <is>
          <t>4e dag</t>
        </is>
      </c>
      <c r="D35" s="59" t="inlineStr">
        <is>
          <t>Sectie 12</t>
        </is>
      </c>
      <c r="E35" s="60" t="n">
        <v>12</v>
      </c>
      <c r="F35" s="60" t="n">
        <v>0</v>
      </c>
      <c r="G35" s="70">
        <f>E35+F35</f>
        <v/>
      </c>
      <c r="H35" s="59" t="inlineStr">
        <is>
          <t>110-111</t>
        </is>
      </c>
      <c r="I35" s="63" t="inlineStr">
        <is>
          <t>Geverifieerd</t>
        </is>
      </c>
    </row>
    <row r="36">
      <c r="A36" s="41" t="n">
        <v>112</v>
      </c>
      <c r="B36" s="42" t="inlineStr">
        <is>
          <t>12-06-2026</t>
        </is>
      </c>
      <c r="C36" s="42" t="inlineStr">
        <is>
          <t>4e dag</t>
        </is>
      </c>
      <c r="D36" s="42" t="inlineStr">
        <is>
          <t>Sectie 13</t>
        </is>
      </c>
      <c r="E36" s="43" t="n">
        <v>11</v>
      </c>
      <c r="F36" s="43" t="n">
        <v>2</v>
      </c>
      <c r="G36" s="68">
        <f>E36+F36</f>
        <v/>
      </c>
      <c r="H36" s="42" t="inlineStr">
        <is>
          <t>117-131</t>
        </is>
      </c>
      <c r="I36" s="56" t="inlineStr">
        <is>
          <t>Geverifieerd</t>
        </is>
      </c>
    </row>
    <row r="37">
      <c r="A37" s="69" t="n">
        <v>113</v>
      </c>
      <c r="B37" s="59" t="inlineStr">
        <is>
          <t>12-06-2026</t>
        </is>
      </c>
      <c r="C37" s="59" t="inlineStr">
        <is>
          <t>4e dag</t>
        </is>
      </c>
      <c r="D37" s="59" t="inlineStr">
        <is>
          <t>Sectie 13</t>
        </is>
      </c>
      <c r="E37" s="60" t="n">
        <v>16</v>
      </c>
      <c r="F37" s="60" t="n">
        <v>0</v>
      </c>
      <c r="G37" s="70">
        <f>E37+F37</f>
        <v/>
      </c>
      <c r="H37" s="59" t="inlineStr">
        <is>
          <t>117-131</t>
        </is>
      </c>
      <c r="I37" s="63" t="inlineStr">
        <is>
          <t>Geverifieerd</t>
        </is>
      </c>
    </row>
    <row r="38">
      <c r="A38" s="41" t="n">
        <v>114</v>
      </c>
      <c r="B38" s="42" t="inlineStr">
        <is>
          <t>12-06-2026</t>
        </is>
      </c>
      <c r="C38" s="42" t="inlineStr">
        <is>
          <t>4e dag</t>
        </is>
      </c>
      <c r="D38" s="42" t="inlineStr">
        <is>
          <t>Sectie 13</t>
        </is>
      </c>
      <c r="E38" s="43" t="n">
        <v>17</v>
      </c>
      <c r="F38" s="43" t="n">
        <v>0</v>
      </c>
      <c r="G38" s="68">
        <f>E38+F38</f>
        <v/>
      </c>
      <c r="H38" s="42" t="inlineStr">
        <is>
          <t>117-131</t>
        </is>
      </c>
      <c r="I38" s="56" t="inlineStr">
        <is>
          <t>Geverifieerd</t>
        </is>
      </c>
    </row>
    <row r="39">
      <c r="A39" s="69" t="n">
        <v>115</v>
      </c>
      <c r="B39" s="59" t="inlineStr">
        <is>
          <t>12-06-2026</t>
        </is>
      </c>
      <c r="C39" s="59" t="inlineStr">
        <is>
          <t>4e dag</t>
        </is>
      </c>
      <c r="D39" s="59" t="inlineStr">
        <is>
          <t>Sectie 13</t>
        </is>
      </c>
      <c r="E39" s="60" t="n">
        <v>1</v>
      </c>
      <c r="F39" s="60" t="n">
        <v>0</v>
      </c>
      <c r="G39" s="70">
        <f>E39+F39</f>
        <v/>
      </c>
      <c r="H39" s="59" t="inlineStr">
        <is>
          <t>117-131</t>
        </is>
      </c>
      <c r="I39" s="63" t="inlineStr">
        <is>
          <t>Geverifieerd; Slechts 1 matras (met slash /)</t>
        </is>
      </c>
    </row>
    <row r="40">
      <c r="A40" s="41" t="n">
        <v>116</v>
      </c>
      <c r="B40" s="42" t="inlineStr">
        <is>
          <t>12-06-2026</t>
        </is>
      </c>
      <c r="C40" s="42" t="inlineStr">
        <is>
          <t>4e dag</t>
        </is>
      </c>
      <c r="D40" s="42" t="inlineStr">
        <is>
          <t>Sectie 13</t>
        </is>
      </c>
      <c r="E40" s="43" t="n">
        <v>2</v>
      </c>
      <c r="F40" s="43" t="n">
        <v>0</v>
      </c>
      <c r="G40" s="68">
        <f>E40+F40</f>
        <v/>
      </c>
      <c r="H40" s="42" t="inlineStr">
        <is>
          <t>117-131</t>
        </is>
      </c>
      <c r="I40" s="56" t="inlineStr">
        <is>
          <t>Geverifieerd</t>
        </is>
      </c>
    </row>
    <row r="41">
      <c r="A41" s="69" t="n">
        <v>132</v>
      </c>
      <c r="B41" s="59" t="inlineStr">
        <is>
          <t>12-06-2026</t>
        </is>
      </c>
      <c r="C41" s="59" t="inlineStr">
        <is>
          <t>4e dag</t>
        </is>
      </c>
      <c r="D41" s="59" t="inlineStr">
        <is>
          <t>Sectie 14</t>
        </is>
      </c>
      <c r="E41" s="60" t="n">
        <v>7</v>
      </c>
      <c r="F41" s="60" t="n">
        <v>1</v>
      </c>
      <c r="G41" s="70">
        <f>E41+F41</f>
        <v/>
      </c>
      <c r="H41" s="59" t="inlineStr">
        <is>
          <t>133-143</t>
        </is>
      </c>
      <c r="I41" s="63" t="inlineStr">
        <is>
          <t>Geverifieerd; Exclusief lijstbestelling</t>
        </is>
      </c>
    </row>
    <row r="42">
      <c r="A42" s="41" t="n">
        <v>144</v>
      </c>
      <c r="B42" s="42" t="inlineStr">
        <is>
          <t>12-06-2026</t>
        </is>
      </c>
      <c r="C42" s="42" t="inlineStr">
        <is>
          <t>4e dag</t>
        </is>
      </c>
      <c r="D42" s="42" t="inlineStr">
        <is>
          <t>Sectie 15</t>
        </is>
      </c>
      <c r="E42" s="43" t="n">
        <v>35</v>
      </c>
      <c r="F42" s="43" t="n">
        <v>17</v>
      </c>
      <c r="G42" s="68">
        <f>E42+F42</f>
        <v/>
      </c>
      <c r="H42" s="42" t="inlineStr">
        <is>
          <t>148-155</t>
        </is>
      </c>
      <c r="I42" s="56" t="inlineStr">
        <is>
          <t>Geverifieerd</t>
        </is>
      </c>
    </row>
    <row r="43">
      <c r="A43" s="69" t="n">
        <v>145</v>
      </c>
      <c r="B43" s="59" t="inlineStr">
        <is>
          <t>12-06-2026</t>
        </is>
      </c>
      <c r="C43" s="59" t="inlineStr">
        <is>
          <t>4e dag</t>
        </is>
      </c>
      <c r="D43" s="59" t="inlineStr">
        <is>
          <t>Sectie 15</t>
        </is>
      </c>
      <c r="E43" s="60" t="n">
        <v>11</v>
      </c>
      <c r="F43" s="60" t="n">
        <v>2</v>
      </c>
      <c r="G43" s="70">
        <f>E43+F43</f>
        <v/>
      </c>
      <c r="H43" s="59" t="inlineStr">
        <is>
          <t>148-155</t>
        </is>
      </c>
      <c r="I43" s="63" t="inlineStr">
        <is>
          <t>Geverifieerd</t>
        </is>
      </c>
    </row>
    <row r="44">
      <c r="A44" s="41" t="n">
        <v>146</v>
      </c>
      <c r="B44" s="42" t="inlineStr">
        <is>
          <t>12-06-2026</t>
        </is>
      </c>
      <c r="C44" s="42" t="inlineStr">
        <is>
          <t>4e dag</t>
        </is>
      </c>
      <c r="D44" s="42" t="inlineStr">
        <is>
          <t>Sectie 15</t>
        </is>
      </c>
      <c r="E44" s="43" t="n">
        <v>10</v>
      </c>
      <c r="F44" s="43" t="n">
        <v>0</v>
      </c>
      <c r="G44" s="68">
        <f>E44+F44</f>
        <v/>
      </c>
      <c r="H44" s="42" t="inlineStr">
        <is>
          <t>148-155</t>
        </is>
      </c>
      <c r="I44" s="56" t="inlineStr">
        <is>
          <t>Geverifieerd</t>
        </is>
      </c>
    </row>
    <row r="45">
      <c r="A45" s="69" t="n">
        <v>147</v>
      </c>
      <c r="B45" s="59" t="inlineStr">
        <is>
          <t>12-06-2026</t>
        </is>
      </c>
      <c r="C45" s="59" t="inlineStr">
        <is>
          <t>4e dag</t>
        </is>
      </c>
      <c r="D45" s="59" t="inlineStr">
        <is>
          <t>Sectie 15</t>
        </is>
      </c>
      <c r="E45" s="60" t="n">
        <v>3</v>
      </c>
      <c r="F45" s="60" t="n">
        <v>0</v>
      </c>
      <c r="G45" s="70">
        <f>E45+F45</f>
        <v/>
      </c>
      <c r="H45" s="59" t="inlineStr">
        <is>
          <t>148-155</t>
        </is>
      </c>
      <c r="I45" s="63" t="inlineStr">
        <is>
          <t>Geverifieerd</t>
        </is>
      </c>
    </row>
    <row r="46">
      <c r="A46" s="71" t="inlineStr">
        <is>
          <t>Extra / Lijstbestellingen (Repetities)</t>
        </is>
      </c>
      <c r="B46" s="72" t="n"/>
      <c r="C46" s="72" t="n"/>
      <c r="D46" s="72" t="n"/>
      <c r="E46" s="73" t="n">
        <v>127</v>
      </c>
      <c r="F46" s="73" t="n">
        <v>0</v>
      </c>
      <c r="G46" s="73">
        <f>E46+F46</f>
        <v/>
      </c>
      <c r="H46" s="72" t="n"/>
      <c r="I46" s="74" t="inlineStr">
        <is>
          <t>Standard repetities zonder tekening (108 dag 3, 19 dag 4)</t>
        </is>
      </c>
    </row>
    <row r="47">
      <c r="A47" s="67" t="inlineStr">
        <is>
          <t>Totaal</t>
        </is>
      </c>
      <c r="B47" s="48" t="n"/>
      <c r="C47" s="48" t="n"/>
      <c r="D47" s="48" t="n"/>
      <c r="E47" s="49">
        <f>SUM(E2:E46)</f>
        <v/>
      </c>
      <c r="F47" s="49">
        <f>SUM(F2:F46)</f>
        <v/>
      </c>
      <c r="G47" s="49">
        <f>SUM(G2:G46)</f>
        <v/>
      </c>
      <c r="H47" s="48" t="n"/>
      <c r="I47" s="48" t="n"/>
    </row>
  </sheetData>
  <mergeCells count="2">
    <mergeCell ref="A47:D47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SIB</dc:creator>
  <dcterms:created xsi:type="dcterms:W3CDTF">2026-06-17T17:19:43Z</dcterms:created>
  <dcterms:modified xsi:type="dcterms:W3CDTF">2026-06-23T21:32:29Z</dcterms:modified>
  <cp:lastModifiedBy>SIB</cp:lastModifiedBy>
</cp:coreProperties>
</file>